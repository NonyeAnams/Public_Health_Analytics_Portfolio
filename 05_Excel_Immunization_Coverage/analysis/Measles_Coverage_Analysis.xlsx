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Nonye\Documents\Public_Health_Analytics_Portfolio\05_Excel_Immunization_Coverage\analysis\"/>
    </mc:Choice>
  </mc:AlternateContent>
  <xr:revisionPtr revIDLastSave="0" documentId="13_ncr:1_{B48C0EAD-7795-4563-90F7-82A583DF2027}" xr6:coauthVersionLast="47" xr6:coauthVersionMax="47" xr10:uidLastSave="{00000000-0000-0000-0000-000000000000}"/>
  <bookViews>
    <workbookView xWindow="-108" yWindow="-108" windowWidth="23256" windowHeight="13176" activeTab="2" xr2:uid="{00000000-000D-0000-FFFF-FFFF00000000}"/>
  </bookViews>
  <sheets>
    <sheet name="tbl_measles_ssa_clean" sheetId="6" r:id="rId1"/>
    <sheet name="Analysis_Pivots" sheetId="7" r:id="rId2"/>
    <sheet name="Dashboard" sheetId="9" r:id="rId3"/>
  </sheets>
  <definedNames>
    <definedName name="ExternalData_1" localSheetId="0" hidden="1">tbl_measles_ssa_clean!$A$1:$I$1165</definedName>
    <definedName name="Slicer_Country">#N/A</definedName>
  </definedNames>
  <calcPr calcId="18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6" i="9" l="1"/>
  <c r="F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D6" i="9"/>
  <c r="H6" i="9"/>
  <c r="F6"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2BCE73-92DF-4033-AC76-13B2D0F252D4}"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2" xr16:uid="{0AF3635D-C8FF-4D60-8ED7-C3FFAA48FFB4}" keepAlive="1" name="Query - Merge2" description="Connection to the 'Merge2' query in the workbook." type="5" refreshedVersion="8" background="1" saveData="1">
    <dbPr connection="Provider=Microsoft.Mashup.OleDb.1;Data Source=$Workbook$;Location=Merge2;Extended Properties=&quot;&quot;" command="SELECT * FROM [Merge2]"/>
  </connection>
  <connection id="3" xr16:uid="{F8279E8D-B8A3-4C76-8C36-2AE28E413CB3}" keepAlive="1" name="Query - tbl_MeaslesData" description="Connection to the 'tbl_MeaslesData' query in the workbook." type="5" refreshedVersion="8" background="1" saveData="1">
    <dbPr connection="Provider=Microsoft.Mashup.OleDb.1;Data Source=$Workbook$;Location=tbl_MeaslesData;Extended Properties=&quot;&quot;" command="SELECT * FROM [tbl_MeaslesData]"/>
  </connection>
  <connection id="4" xr16:uid="{93482C09-E89A-43A9-A8D1-51BC09517FEE}" keepAlive="1" name="Query - tbl_PopulationData" description="Connection to the 'tbl_PopulationData' query in the workbook." type="5" refreshedVersion="8" background="1" saveData="1">
    <dbPr connection="Provider=Microsoft.Mashup.OleDb.1;Data Source=$Workbook$;Location=tbl_PopulationData;Extended Properties=&quot;&quot;" command="SELECT * FROM [tbl_PopulationData]"/>
  </connection>
  <connection id="5" xr16:uid="{C3802BF9-70F9-4352-9E5F-06D10E48B3AC}" keepAlive="1" name="Query - tbl_RegionMap" description="Connection to the 'tbl_RegionMap' query in the workbook." type="5" refreshedVersion="8" background="1" saveData="1">
    <dbPr connection="Provider=Microsoft.Mashup.OleDb.1;Data Source=$Workbook$;Location=tbl_RegionMap;Extended Properties=&quot;&quot;" command="SELECT * FROM [tbl_RegionMap]"/>
  </connection>
</connections>
</file>

<file path=xl/sharedStrings.xml><?xml version="1.0" encoding="utf-8"?>
<sst xmlns="http://schemas.openxmlformats.org/spreadsheetml/2006/main" count="3597" uniqueCount="120">
  <si>
    <t>Year</t>
  </si>
  <si>
    <t>Cases</t>
  </si>
  <si>
    <t>Coverage</t>
  </si>
  <si>
    <t>AGO</t>
  </si>
  <si>
    <t>Angola</t>
  </si>
  <si>
    <t>Sub-Saharan Africa</t>
  </si>
  <si>
    <t>BDI</t>
  </si>
  <si>
    <t>Burundi</t>
  </si>
  <si>
    <t>BEN</t>
  </si>
  <si>
    <t>Benin</t>
  </si>
  <si>
    <t>BFA</t>
  </si>
  <si>
    <t>Burkina Faso</t>
  </si>
  <si>
    <t>BWA</t>
  </si>
  <si>
    <t>Botswana</t>
  </si>
  <si>
    <t>CAF</t>
  </si>
  <si>
    <t>Central African Republic</t>
  </si>
  <si>
    <t>CIV</t>
  </si>
  <si>
    <t>Côte d'Ivoire</t>
  </si>
  <si>
    <t>CMR</t>
  </si>
  <si>
    <t>Cameroon</t>
  </si>
  <si>
    <t>COD</t>
  </si>
  <si>
    <t>Democratic Republic of the Congo</t>
  </si>
  <si>
    <t>COG</t>
  </si>
  <si>
    <t>Congo</t>
  </si>
  <si>
    <t>COM</t>
  </si>
  <si>
    <t>Comoros</t>
  </si>
  <si>
    <t>CPV</t>
  </si>
  <si>
    <t>Cabo Verde</t>
  </si>
  <si>
    <t>Country</t>
  </si>
  <si>
    <t>Country code</t>
  </si>
  <si>
    <t>Region</t>
  </si>
  <si>
    <t>Population</t>
  </si>
  <si>
    <t>Incidence_per_100k</t>
  </si>
  <si>
    <t>Chad</t>
  </si>
  <si>
    <t>Equatorial Guinea</t>
  </si>
  <si>
    <t>Eswatini</t>
  </si>
  <si>
    <t>Ethiopia</t>
  </si>
  <si>
    <t>Gabon</t>
  </si>
  <si>
    <t>Gambia</t>
  </si>
  <si>
    <t>Ghana</t>
  </si>
  <si>
    <t>Guinea</t>
  </si>
  <si>
    <t>Guinea-Bissau</t>
  </si>
  <si>
    <t>Kenya</t>
  </si>
  <si>
    <t>Lesotho</t>
  </si>
  <si>
    <t>Liberia</t>
  </si>
  <si>
    <t>Madagascar</t>
  </si>
  <si>
    <t>Malawi</t>
  </si>
  <si>
    <t>Mali</t>
  </si>
  <si>
    <t>Mauritania</t>
  </si>
  <si>
    <t>Mauritius</t>
  </si>
  <si>
    <t>Mozambique</t>
  </si>
  <si>
    <t>Namibia</t>
  </si>
  <si>
    <t>Niger</t>
  </si>
  <si>
    <t>Nigeria</t>
  </si>
  <si>
    <t>Rwanda</t>
  </si>
  <si>
    <t>Sao Tome and Principe</t>
  </si>
  <si>
    <t>Senegal</t>
  </si>
  <si>
    <t>Seychelles</t>
  </si>
  <si>
    <t>Sierra Leone</t>
  </si>
  <si>
    <t>Somalia</t>
  </si>
  <si>
    <t>South Africa</t>
  </si>
  <si>
    <t>South Sudan</t>
  </si>
  <si>
    <t>Sudan</t>
  </si>
  <si>
    <t>Togo</t>
  </si>
  <si>
    <t>Uganda</t>
  </si>
  <si>
    <t>United Republic of Tanzania</t>
  </si>
  <si>
    <t>Zambia</t>
  </si>
  <si>
    <t>Zimbabwe</t>
  </si>
  <si>
    <t>ETH</t>
  </si>
  <si>
    <t>GAB</t>
  </si>
  <si>
    <t>GHA</t>
  </si>
  <si>
    <t>GIN</t>
  </si>
  <si>
    <t>GMB</t>
  </si>
  <si>
    <t>GNB</t>
  </si>
  <si>
    <t>GNQ</t>
  </si>
  <si>
    <t>KEN</t>
  </si>
  <si>
    <t>LBR</t>
  </si>
  <si>
    <t>LSO</t>
  </si>
  <si>
    <t>MDG</t>
  </si>
  <si>
    <t>MLI</t>
  </si>
  <si>
    <t>MOZ</t>
  </si>
  <si>
    <t>MRT</t>
  </si>
  <si>
    <t>MUS</t>
  </si>
  <si>
    <t>MWI</t>
  </si>
  <si>
    <t>NAM</t>
  </si>
  <si>
    <t>NER</t>
  </si>
  <si>
    <t>NGA</t>
  </si>
  <si>
    <t>RWA</t>
  </si>
  <si>
    <t>SDN</t>
  </si>
  <si>
    <t>SEN</t>
  </si>
  <si>
    <t>SLE</t>
  </si>
  <si>
    <t>SOM</t>
  </si>
  <si>
    <t>SSD</t>
  </si>
  <si>
    <t>STP</t>
  </si>
  <si>
    <t>SWZ</t>
  </si>
  <si>
    <t>SYC</t>
  </si>
  <si>
    <t>TCD</t>
  </si>
  <si>
    <t>TGO</t>
  </si>
  <si>
    <t>TZA</t>
  </si>
  <si>
    <t>UGA</t>
  </si>
  <si>
    <t>ZAF</t>
  </si>
  <si>
    <t>ZMB</t>
  </si>
  <si>
    <t>ZWE</t>
  </si>
  <si>
    <t>Coverage Trend</t>
  </si>
  <si>
    <t>Average of Incidence_per_100k</t>
  </si>
  <si>
    <t>Measles Burden Trend</t>
  </si>
  <si>
    <t>Coverage vs Cases Relationship</t>
  </si>
  <si>
    <t>Country Comparison (Latest Year)</t>
  </si>
  <si>
    <t>Coverage (%)</t>
  </si>
  <si>
    <t>Average of Coverage (%)</t>
  </si>
  <si>
    <t>Average Coverage (%)</t>
  </si>
  <si>
    <t>Average Incidence_per_100k</t>
  </si>
  <si>
    <t>Measles Vaccination and Incidence in Sub-Saharan Africa (2000–2024)</t>
  </si>
  <si>
    <t>Data Source: WHO WUENIC, World Bank</t>
  </si>
  <si>
    <t>Latest SSA Measles Coverage</t>
  </si>
  <si>
    <t>Coverage Increase Since 2000</t>
  </si>
  <si>
    <t>Reduction in Measles Incidence per 100k Since 2000</t>
  </si>
  <si>
    <t>Number of SSA Countries Below 95% Coverage</t>
  </si>
  <si>
    <t>Bottom 10 Coverage Countries (Latest Year)</t>
  </si>
  <si>
    <t>Top 10 Incidence Countries  (Latest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</si>
</sst>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 &quot;per 100k&quot;"/>
    <numFmt numFmtId="169" formatCode="0&quot;%&quot;"/>
  </numFmts>
  <fonts count="9" x14ac:knownFonts="1">
    <font>
      <sz val="11"/>
      <color theme="1"/>
      <name val="Calibri"/>
      <family val="2"/>
      <scheme val="minor"/>
    </font>
    <font>
      <sz val="11"/>
      <color theme="1"/>
      <name val="Calibri"/>
      <family val="2"/>
      <scheme val="minor"/>
    </font>
    <font>
      <sz val="8"/>
      <name val="Calibri"/>
      <family val="2"/>
      <scheme val="minor"/>
    </font>
    <font>
      <b/>
      <sz val="12"/>
      <color theme="1"/>
      <name val="Calibri"/>
      <family val="2"/>
      <scheme val="minor"/>
    </font>
    <font>
      <b/>
      <sz val="20"/>
      <color theme="1"/>
      <name val="Calibri"/>
      <family val="2"/>
      <scheme val="minor"/>
    </font>
    <font>
      <b/>
      <sz val="22"/>
      <color theme="1"/>
      <name val="Calibri"/>
      <family val="2"/>
      <scheme val="minor"/>
    </font>
    <font>
      <sz val="11"/>
      <color theme="0"/>
      <name val="Calibri"/>
      <family val="2"/>
      <scheme val="minor"/>
    </font>
    <font>
      <b/>
      <sz val="32"/>
      <color theme="1"/>
      <name val="Calibri"/>
      <family val="2"/>
      <scheme val="minor"/>
    </font>
    <font>
      <b/>
      <sz val="48"/>
      <color theme="0"/>
      <name val="Calibri"/>
      <family val="2"/>
      <scheme val="minor"/>
    </font>
  </fonts>
  <fills count="4">
    <fill>
      <patternFill patternType="none"/>
    </fill>
    <fill>
      <patternFill patternType="gray125"/>
    </fill>
    <fill>
      <patternFill patternType="solid">
        <fgColor theme="2" tint="-0.749992370372631"/>
        <bgColor indexed="64"/>
      </patternFill>
    </fill>
    <fill>
      <patternFill patternType="solid">
        <fgColor theme="2" tint="-9.9978637043366805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2" fontId="0" fillId="0" borderId="0" xfId="1" applyNumberFormat="1" applyFont="1"/>
    <xf numFmtId="2" fontId="0" fillId="0" borderId="0" xfId="0" applyNumberFormat="1"/>
    <xf numFmtId="1" fontId="0" fillId="0" borderId="0" xfId="0" applyNumberFormat="1"/>
    <xf numFmtId="49" fontId="0" fillId="0" borderId="0" xfId="0" applyNumberFormat="1"/>
    <xf numFmtId="0" fontId="0" fillId="0" borderId="0" xfId="0" pivotButton="1"/>
    <xf numFmtId="1" fontId="0" fillId="0" borderId="0" xfId="0" applyNumberFormat="1" applyAlignment="1">
      <alignment horizontal="left"/>
    </xf>
    <xf numFmtId="0" fontId="4" fillId="0" borderId="0" xfId="0" applyFont="1"/>
    <xf numFmtId="0" fontId="0" fillId="0" borderId="0" xfId="0" applyAlignment="1">
      <alignment horizontal="center"/>
    </xf>
    <xf numFmtId="0" fontId="0" fillId="0" borderId="0" xfId="0" applyAlignment="1">
      <alignment horizontal="left" indent="12"/>
    </xf>
    <xf numFmtId="0" fontId="5" fillId="0" borderId="0" xfId="0" applyFont="1" applyAlignment="1">
      <alignment wrapText="1"/>
    </xf>
    <xf numFmtId="0" fontId="4" fillId="0" borderId="0" xfId="0" applyFont="1" applyAlignment="1">
      <alignment horizontal="left"/>
    </xf>
    <xf numFmtId="0" fontId="3" fillId="0" borderId="0" xfId="0" applyFont="1"/>
    <xf numFmtId="9" fontId="0" fillId="0" borderId="0" xfId="1" applyFont="1"/>
    <xf numFmtId="0" fontId="8" fillId="2" borderId="0" xfId="0" applyFont="1" applyFill="1"/>
    <xf numFmtId="0" fontId="8" fillId="2" borderId="0" xfId="0" applyFont="1" applyFill="1" applyAlignment="1">
      <alignment vertical="center"/>
    </xf>
    <xf numFmtId="0" fontId="6" fillId="2" borderId="0" xfId="0" applyFont="1" applyFill="1" applyAlignment="1">
      <alignment horizontal="left" vertical="center" indent="11"/>
    </xf>
    <xf numFmtId="0" fontId="6" fillId="2" borderId="0" xfId="0" applyFont="1" applyFill="1" applyAlignment="1">
      <alignment vertical="center"/>
    </xf>
    <xf numFmtId="0" fontId="6" fillId="2" borderId="0" xfId="0" applyFont="1" applyFill="1"/>
    <xf numFmtId="169" fontId="7" fillId="3" borderId="0" xfId="1" applyNumberFormat="1" applyFont="1" applyFill="1" applyAlignment="1">
      <alignment horizontal="center" vertical="center"/>
    </xf>
    <xf numFmtId="1" fontId="7" fillId="3" borderId="0" xfId="0" applyNumberFormat="1" applyFont="1" applyFill="1" applyAlignment="1">
      <alignment horizontal="center" vertical="center"/>
    </xf>
    <xf numFmtId="168" fontId="7" fillId="3" borderId="0" xfId="0" applyNumberFormat="1" applyFont="1" applyFill="1" applyAlignment="1">
      <alignment horizontal="center" vertical="center"/>
    </xf>
    <xf numFmtId="0" fontId="7" fillId="3" borderId="0" xfId="0" applyFont="1" applyFill="1" applyAlignment="1">
      <alignment horizontal="center" vertical="center"/>
    </xf>
  </cellXfs>
  <cellStyles count="2">
    <cellStyle name="Normal" xfId="0" builtinId="0"/>
    <cellStyle name="Percent" xfId="1" builtinId="5"/>
  </cellStyles>
  <dxfs count="9">
    <dxf>
      <numFmt numFmtId="2" formatCode="0.00"/>
    </dxf>
    <dxf>
      <numFmt numFmtId="1" formatCode="0"/>
    </dxf>
    <dxf>
      <numFmt numFmtId="2" formatCode="0.00"/>
    </dxf>
    <dxf>
      <numFmt numFmtId="1" formatCode="0"/>
    </dxf>
    <dxf>
      <numFmt numFmtId="1" formatCode="0"/>
    </dxf>
    <dxf>
      <numFmt numFmtId="30" formatCode="@"/>
    </dxf>
    <dxf>
      <numFmt numFmtId="30" formatCode="@"/>
    </dxf>
    <dxf>
      <numFmt numFmtId="1" formatCode="0"/>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[Measles_Coverage_Analysis.xlsx]Analysis_Pivots!Measles Burden Trend</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65000"/>
                    <a:lumOff val="35000"/>
                  </a:schemeClr>
                </a:solidFill>
                <a:latin typeface="+mn-lt"/>
                <a:ea typeface="+mn-ea"/>
                <a:cs typeface="+mn-cs"/>
              </a:defRPr>
            </a:pPr>
            <a:r>
              <a:rPr lang="en-US"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rPr>
              <a:t>Measles Incidence per 100,000 Population in Sub-Saharan Africa (2000–2024)</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65000"/>
                  <a:lumOff val="35000"/>
                </a:schemeClr>
              </a:solidFill>
              <a:latin typeface="+mn-lt"/>
              <a:ea typeface="+mn-ea"/>
              <a:cs typeface="+mn-cs"/>
            </a:defRPr>
          </a:pPr>
          <a:endParaRPr lang="en-NG"/>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50483053221842"/>
          <c:y val="0.44310369491946899"/>
          <c:w val="0.81470219158596724"/>
          <c:h val="0.47046109953166759"/>
        </c:manualLayout>
      </c:layout>
      <c:barChart>
        <c:barDir val="col"/>
        <c:grouping val="clustered"/>
        <c:varyColors val="0"/>
        <c:ser>
          <c:idx val="0"/>
          <c:order val="0"/>
          <c:tx>
            <c:strRef>
              <c:f>Analysis_Pivots!$B$19</c:f>
              <c:strCache>
                <c:ptCount val="1"/>
                <c:pt idx="0">
                  <c:v>Total</c:v>
                </c:pt>
              </c:strCache>
            </c:strRef>
          </c:tx>
          <c:spPr>
            <a:solidFill>
              <a:schemeClr val="accent2"/>
            </a:solidFill>
            <a:ln>
              <a:noFill/>
            </a:ln>
            <a:effectLst>
              <a:innerShdw blurRad="114300">
                <a:schemeClr val="accent1"/>
              </a:innerShdw>
            </a:effectLst>
          </c:spPr>
          <c:invertIfNegative val="0"/>
          <c:cat>
            <c:strRef>
              <c:f>Analysis_Pivots!$A$20:$A$32</c:f>
              <c:strCache>
                <c:ptCount val="13"/>
                <c:pt idx="0">
                  <c:v>2000</c:v>
                </c:pt>
                <c:pt idx="1">
                  <c:v>2002</c:v>
                </c:pt>
                <c:pt idx="2">
                  <c:v>2004</c:v>
                </c:pt>
                <c:pt idx="3">
                  <c:v>2006</c:v>
                </c:pt>
                <c:pt idx="4">
                  <c:v>2008</c:v>
                </c:pt>
                <c:pt idx="5">
                  <c:v>2010</c:v>
                </c:pt>
                <c:pt idx="6">
                  <c:v>2012</c:v>
                </c:pt>
                <c:pt idx="7">
                  <c:v>2014</c:v>
                </c:pt>
                <c:pt idx="8">
                  <c:v>2016</c:v>
                </c:pt>
                <c:pt idx="9">
                  <c:v>2018</c:v>
                </c:pt>
                <c:pt idx="10">
                  <c:v>2020</c:v>
                </c:pt>
                <c:pt idx="11">
                  <c:v>2022</c:v>
                </c:pt>
                <c:pt idx="12">
                  <c:v>2024</c:v>
                </c:pt>
              </c:strCache>
            </c:strRef>
          </c:cat>
          <c:val>
            <c:numRef>
              <c:f>Analysis_Pivots!$B$20:$B$32</c:f>
              <c:numCache>
                <c:formatCode>0.00</c:formatCode>
                <c:ptCount val="13"/>
                <c:pt idx="0">
                  <c:v>72.209808021884683</c:v>
                </c:pt>
                <c:pt idx="1">
                  <c:v>40.445869697410068</c:v>
                </c:pt>
                <c:pt idx="2">
                  <c:v>36.786116946643439</c:v>
                </c:pt>
                <c:pt idx="3">
                  <c:v>5.4803000134290292</c:v>
                </c:pt>
                <c:pt idx="4">
                  <c:v>2.8807060350586902</c:v>
                </c:pt>
                <c:pt idx="5">
                  <c:v>33.87846372532259</c:v>
                </c:pt>
                <c:pt idx="6">
                  <c:v>9.8357945036214378</c:v>
                </c:pt>
                <c:pt idx="7">
                  <c:v>5.7735241842510927</c:v>
                </c:pt>
                <c:pt idx="8">
                  <c:v>6.1650316339063558</c:v>
                </c:pt>
                <c:pt idx="9">
                  <c:v>8.9178367671490726</c:v>
                </c:pt>
                <c:pt idx="10">
                  <c:v>7.3921287705500127</c:v>
                </c:pt>
                <c:pt idx="11">
                  <c:v>14.688465527162034</c:v>
                </c:pt>
                <c:pt idx="12">
                  <c:v>8.5181552838821872</c:v>
                </c:pt>
              </c:numCache>
            </c:numRef>
          </c:val>
          <c:extLst>
            <c:ext xmlns:c16="http://schemas.microsoft.com/office/drawing/2014/chart" uri="{C3380CC4-5D6E-409C-BE32-E72D297353CC}">
              <c16:uniqueId val="{00000000-6223-4662-863C-AF5603838F9F}"/>
            </c:ext>
          </c:extLst>
        </c:ser>
        <c:dLbls>
          <c:showLegendKey val="0"/>
          <c:showVal val="0"/>
          <c:showCatName val="0"/>
          <c:showSerName val="0"/>
          <c:showPercent val="0"/>
          <c:showBubbleSize val="0"/>
        </c:dLbls>
        <c:gapWidth val="164"/>
        <c:overlap val="-22"/>
        <c:axId val="1607445663"/>
        <c:axId val="1607430303"/>
      </c:barChart>
      <c:catAx>
        <c:axId val="160744566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07430303"/>
        <c:crosses val="autoZero"/>
        <c:auto val="1"/>
        <c:lblAlgn val="ctr"/>
        <c:lblOffset val="100"/>
        <c:noMultiLvlLbl val="0"/>
      </c:catAx>
      <c:valAx>
        <c:axId val="160743030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Average incidence per 100k</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0744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[Measles_Coverage_Analysis.xlsx]Analysis_Pivots!Coverage vs Cases Relationship</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cap="none" spc="0">
                <a:ln>
                  <a:solidFill>
                    <a:sysClr val="windowText" lastClr="000000"/>
                  </a:solidFill>
                </a:ln>
                <a:solidFill>
                  <a:sysClr val="windowText" lastClr="000000"/>
                </a:solidFill>
                <a:effectLst/>
              </a:rPr>
              <a:t> </a:t>
            </a:r>
            <a:r>
              <a:rPr lang="en-US" sz="2000" b="1" cap="none" spc="0">
                <a:ln w="0"/>
                <a:solidFill>
                  <a:schemeClr val="tx1"/>
                </a:solidFill>
                <a:effectLst>
                  <a:outerShdw blurRad="38100" dist="19050" dir="2700000" algn="tl" rotWithShape="0">
                    <a:schemeClr val="dk1">
                      <a:alpha val="40000"/>
                    </a:schemeClr>
                  </a:outerShdw>
                </a:effectLst>
              </a:rPr>
              <a:t>Coverage vs Measles Incidence in SSA</a:t>
            </a:r>
            <a:endParaRPr lang="en-US" sz="2000" b="1" cap="none" spc="0">
              <a:ln>
                <a:solidFill>
                  <a:sysClr val="windowText" lastClr="000000"/>
                </a:solidFill>
              </a:ln>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0070C0"/>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Analysis_Pivots!$B$35</c:f>
              <c:strCache>
                <c:ptCount val="1"/>
                <c:pt idx="0">
                  <c:v>Average Incidence_per_100k</c:v>
                </c:pt>
              </c:strCache>
            </c:strRef>
          </c:tx>
          <c:spPr>
            <a:ln w="28575" cap="rnd">
              <a:solidFill>
                <a:schemeClr val="accent2"/>
              </a:solidFill>
              <a:round/>
            </a:ln>
            <a:effectLst/>
          </c:spPr>
          <c:marker>
            <c:symbol val="circle"/>
            <c:size val="5"/>
            <c:spPr>
              <a:solidFill>
                <a:schemeClr val="tx1"/>
              </a:solidFill>
              <a:ln w="9525">
                <a:solidFill>
                  <a:schemeClr val="tx1"/>
                </a:solidFill>
              </a:ln>
              <a:effectLst/>
            </c:spPr>
          </c:marker>
          <c:cat>
            <c:strRef>
              <c:f>Analysis_Pivots!$A$36:$A$48</c:f>
              <c:strCache>
                <c:ptCount val="13"/>
                <c:pt idx="0">
                  <c:v>2008</c:v>
                </c:pt>
                <c:pt idx="1">
                  <c:v>2006</c:v>
                </c:pt>
                <c:pt idx="2">
                  <c:v>2014</c:v>
                </c:pt>
                <c:pt idx="3">
                  <c:v>2016</c:v>
                </c:pt>
                <c:pt idx="4">
                  <c:v>2020</c:v>
                </c:pt>
                <c:pt idx="5">
                  <c:v>2024</c:v>
                </c:pt>
                <c:pt idx="6">
                  <c:v>2018</c:v>
                </c:pt>
                <c:pt idx="7">
                  <c:v>2012</c:v>
                </c:pt>
                <c:pt idx="8">
                  <c:v>2022</c:v>
                </c:pt>
                <c:pt idx="9">
                  <c:v>2010</c:v>
                </c:pt>
                <c:pt idx="10">
                  <c:v>2004</c:v>
                </c:pt>
                <c:pt idx="11">
                  <c:v>2002</c:v>
                </c:pt>
                <c:pt idx="12">
                  <c:v>2000</c:v>
                </c:pt>
              </c:strCache>
            </c:strRef>
          </c:cat>
          <c:val>
            <c:numRef>
              <c:f>Analysis_Pivots!$B$36:$B$48</c:f>
              <c:numCache>
                <c:formatCode>0.00</c:formatCode>
                <c:ptCount val="13"/>
                <c:pt idx="0">
                  <c:v>2.8807060350586902</c:v>
                </c:pt>
                <c:pt idx="1">
                  <c:v>5.4803000134290292</c:v>
                </c:pt>
                <c:pt idx="2">
                  <c:v>5.7735241842510927</c:v>
                </c:pt>
                <c:pt idx="3">
                  <c:v>6.1650316339063558</c:v>
                </c:pt>
                <c:pt idx="4">
                  <c:v>7.3921287705500127</c:v>
                </c:pt>
                <c:pt idx="5">
                  <c:v>8.5181552838821872</c:v>
                </c:pt>
                <c:pt idx="6">
                  <c:v>8.9178367671490726</c:v>
                </c:pt>
                <c:pt idx="7">
                  <c:v>9.8357945036214378</c:v>
                </c:pt>
                <c:pt idx="8">
                  <c:v>14.688465527162034</c:v>
                </c:pt>
                <c:pt idx="9">
                  <c:v>33.87846372532259</c:v>
                </c:pt>
                <c:pt idx="10">
                  <c:v>36.786116946643439</c:v>
                </c:pt>
                <c:pt idx="11">
                  <c:v>40.445869697410068</c:v>
                </c:pt>
                <c:pt idx="12">
                  <c:v>72.209808021884683</c:v>
                </c:pt>
              </c:numCache>
            </c:numRef>
          </c:val>
          <c:smooth val="0"/>
          <c:extLst>
            <c:ext xmlns:c16="http://schemas.microsoft.com/office/drawing/2014/chart" uri="{C3380CC4-5D6E-409C-BE32-E72D297353CC}">
              <c16:uniqueId val="{00000000-BF88-4910-A56A-CC03F244491F}"/>
            </c:ext>
          </c:extLst>
        </c:ser>
        <c:ser>
          <c:idx val="1"/>
          <c:order val="1"/>
          <c:tx>
            <c:strRef>
              <c:f>Analysis_Pivots!$C$35</c:f>
              <c:strCache>
                <c:ptCount val="1"/>
                <c:pt idx="0">
                  <c:v>Average Coverage (%)</c:v>
                </c:pt>
              </c:strCache>
            </c:strRef>
          </c:tx>
          <c:spPr>
            <a:ln w="28575" cap="rnd">
              <a:solidFill>
                <a:srgbClr val="0070C0"/>
              </a:solidFill>
              <a:round/>
            </a:ln>
            <a:effectLst/>
          </c:spPr>
          <c:marker>
            <c:symbol val="circle"/>
            <c:size val="5"/>
            <c:spPr>
              <a:solidFill>
                <a:schemeClr val="tx1"/>
              </a:solidFill>
              <a:ln w="9525">
                <a:solidFill>
                  <a:schemeClr val="tx1"/>
                </a:solidFill>
              </a:ln>
              <a:effectLst/>
            </c:spPr>
          </c:marker>
          <c:cat>
            <c:strRef>
              <c:f>Analysis_Pivots!$A$36:$A$48</c:f>
              <c:strCache>
                <c:ptCount val="13"/>
                <c:pt idx="0">
                  <c:v>2008</c:v>
                </c:pt>
                <c:pt idx="1">
                  <c:v>2006</c:v>
                </c:pt>
                <c:pt idx="2">
                  <c:v>2014</c:v>
                </c:pt>
                <c:pt idx="3">
                  <c:v>2016</c:v>
                </c:pt>
                <c:pt idx="4">
                  <c:v>2020</c:v>
                </c:pt>
                <c:pt idx="5">
                  <c:v>2024</c:v>
                </c:pt>
                <c:pt idx="6">
                  <c:v>2018</c:v>
                </c:pt>
                <c:pt idx="7">
                  <c:v>2012</c:v>
                </c:pt>
                <c:pt idx="8">
                  <c:v>2022</c:v>
                </c:pt>
                <c:pt idx="9">
                  <c:v>2010</c:v>
                </c:pt>
                <c:pt idx="10">
                  <c:v>2004</c:v>
                </c:pt>
                <c:pt idx="11">
                  <c:v>2002</c:v>
                </c:pt>
                <c:pt idx="12">
                  <c:v>2000</c:v>
                </c:pt>
              </c:strCache>
            </c:strRef>
          </c:cat>
          <c:val>
            <c:numRef>
              <c:f>Analysis_Pivots!$C$36:$C$48</c:f>
              <c:numCache>
                <c:formatCode>0</c:formatCode>
                <c:ptCount val="13"/>
                <c:pt idx="0">
                  <c:v>73.913043478260875</c:v>
                </c:pt>
                <c:pt idx="1">
                  <c:v>71.717391304347828</c:v>
                </c:pt>
                <c:pt idx="2">
                  <c:v>76.744680851063833</c:v>
                </c:pt>
                <c:pt idx="3">
                  <c:v>76.063829787234042</c:v>
                </c:pt>
                <c:pt idx="4">
                  <c:v>74.59574468085107</c:v>
                </c:pt>
                <c:pt idx="5">
                  <c:v>75.893617021276597</c:v>
                </c:pt>
                <c:pt idx="6">
                  <c:v>76.787234042553195</c:v>
                </c:pt>
                <c:pt idx="7">
                  <c:v>78.148936170212764</c:v>
                </c:pt>
                <c:pt idx="8">
                  <c:v>74.553191489361708</c:v>
                </c:pt>
                <c:pt idx="9">
                  <c:v>76.956521739130437</c:v>
                </c:pt>
                <c:pt idx="10">
                  <c:v>69.326086956521735</c:v>
                </c:pt>
                <c:pt idx="11">
                  <c:v>64.913043478260875</c:v>
                </c:pt>
                <c:pt idx="12">
                  <c:v>60.913043478260867</c:v>
                </c:pt>
              </c:numCache>
            </c:numRef>
          </c:val>
          <c:smooth val="0"/>
          <c:extLst>
            <c:ext xmlns:c16="http://schemas.microsoft.com/office/drawing/2014/chart" uri="{C3380CC4-5D6E-409C-BE32-E72D297353CC}">
              <c16:uniqueId val="{00000001-BF88-4910-A56A-CC03F244491F}"/>
            </c:ext>
          </c:extLst>
        </c:ser>
        <c:dLbls>
          <c:showLegendKey val="0"/>
          <c:showVal val="0"/>
          <c:showCatName val="0"/>
          <c:showSerName val="0"/>
          <c:showPercent val="0"/>
          <c:showBubbleSize val="0"/>
        </c:dLbls>
        <c:marker val="1"/>
        <c:smooth val="0"/>
        <c:axId val="81871072"/>
        <c:axId val="81871552"/>
      </c:lineChart>
      <c:catAx>
        <c:axId val="8187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1871552"/>
        <c:crosses val="autoZero"/>
        <c:auto val="1"/>
        <c:lblAlgn val="ctr"/>
        <c:lblOffset val="100"/>
        <c:noMultiLvlLbl val="0"/>
      </c:catAx>
      <c:valAx>
        <c:axId val="818715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187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[Measles_Coverage_Analysis.xlsx]Analysis_Pivots!Country Comparison (Latest Year)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0" u="none" strike="noStrike" cap="none" spc="0" baseline="0">
                <a:ln w="0"/>
                <a:solidFill>
                  <a:schemeClr val="tx1"/>
                </a:solidFill>
                <a:effectLst>
                  <a:outerShdw blurRad="38100" dist="19050" dir="2700000" algn="tl" rotWithShape="0">
                    <a:schemeClr val="dk1">
                      <a:alpha val="40000"/>
                    </a:schemeClr>
                  </a:outerShdw>
                </a:effectLst>
              </a:rPr>
              <a:t>Top Measles Burden Countries in SSA (Latest Year)</a:t>
            </a:r>
            <a:endParaRPr lang="en-US" sz="2000" b="1"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Analysis_Pivots!$E$5</c:f>
              <c:strCache>
                <c:ptCount val="1"/>
                <c:pt idx="0">
                  <c:v>Total</c:v>
                </c:pt>
              </c:strCache>
            </c:strRef>
          </c:tx>
          <c:spPr>
            <a:solidFill>
              <a:schemeClr val="accent2"/>
            </a:solidFill>
            <a:ln>
              <a:noFill/>
            </a:ln>
            <a:effectLst/>
          </c:spPr>
          <c:invertIfNegative val="0"/>
          <c:cat>
            <c:strRef>
              <c:f>Analysis_Pivots!$D$6:$D$15</c:f>
              <c:strCache>
                <c:ptCount val="10"/>
                <c:pt idx="0">
                  <c:v>Democratic Republic of the Congo</c:v>
                </c:pt>
                <c:pt idx="1">
                  <c:v>Chad</c:v>
                </c:pt>
                <c:pt idx="2">
                  <c:v>South Sudan</c:v>
                </c:pt>
                <c:pt idx="3">
                  <c:v>Equatorial Guinea</c:v>
                </c:pt>
                <c:pt idx="4">
                  <c:v>Ethiopia</c:v>
                </c:pt>
                <c:pt idx="5">
                  <c:v>Mauritania</c:v>
                </c:pt>
                <c:pt idx="6">
                  <c:v>Burundi</c:v>
                </c:pt>
                <c:pt idx="7">
                  <c:v>Liberia</c:v>
                </c:pt>
                <c:pt idx="8">
                  <c:v>Burkina Faso</c:v>
                </c:pt>
                <c:pt idx="9">
                  <c:v>Niger</c:v>
                </c:pt>
              </c:strCache>
            </c:strRef>
          </c:cat>
          <c:val>
            <c:numRef>
              <c:f>Analysis_Pivots!$E$6:$E$15</c:f>
              <c:numCache>
                <c:formatCode>0.00</c:formatCode>
                <c:ptCount val="10"/>
                <c:pt idx="0">
                  <c:v>100.13061848334587</c:v>
                </c:pt>
                <c:pt idx="1">
                  <c:v>34.375869341744469</c:v>
                </c:pt>
                <c:pt idx="2">
                  <c:v>26.072960079736035</c:v>
                </c:pt>
                <c:pt idx="3">
                  <c:v>24.464786559268191</c:v>
                </c:pt>
                <c:pt idx="4">
                  <c:v>23.507538067971907</c:v>
                </c:pt>
                <c:pt idx="5">
                  <c:v>21.414498214974866</c:v>
                </c:pt>
                <c:pt idx="6">
                  <c:v>19.511971495009963</c:v>
                </c:pt>
                <c:pt idx="7">
                  <c:v>18.760633029724648</c:v>
                </c:pt>
                <c:pt idx="8">
                  <c:v>18.67187944887678</c:v>
                </c:pt>
                <c:pt idx="9">
                  <c:v>8.7376590738554878</c:v>
                </c:pt>
              </c:numCache>
            </c:numRef>
          </c:val>
          <c:extLst>
            <c:ext xmlns:c16="http://schemas.microsoft.com/office/drawing/2014/chart" uri="{C3380CC4-5D6E-409C-BE32-E72D297353CC}">
              <c16:uniqueId val="{00000000-A03D-4636-9C59-210BAFD83EF2}"/>
            </c:ext>
          </c:extLst>
        </c:ser>
        <c:dLbls>
          <c:showLegendKey val="0"/>
          <c:showVal val="0"/>
          <c:showCatName val="0"/>
          <c:showSerName val="0"/>
          <c:showPercent val="0"/>
          <c:showBubbleSize val="0"/>
        </c:dLbls>
        <c:gapWidth val="182"/>
        <c:axId val="81911392"/>
        <c:axId val="81912832"/>
      </c:barChart>
      <c:catAx>
        <c:axId val="81911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1912832"/>
        <c:crosses val="autoZero"/>
        <c:auto val="1"/>
        <c:lblAlgn val="ctr"/>
        <c:lblOffset val="100"/>
        <c:noMultiLvlLbl val="0"/>
      </c:catAx>
      <c:valAx>
        <c:axId val="8191283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1911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[Measles_Coverage_Analysis.xlsx]Analysis_Pivots!PivotTable1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rPr>
              <a:t>Countries with least Coverage (Latest</a:t>
            </a:r>
            <a:r>
              <a:rPr lang="en-US" sz="2000" b="0" cap="none" spc="0" baseline="0">
                <a:ln w="0">
                  <a:solidFill>
                    <a:sysClr val="windowText" lastClr="000000"/>
                  </a:solidFill>
                </a:ln>
                <a:solidFill>
                  <a:sysClr val="windowText" lastClr="000000"/>
                </a:solidFill>
                <a:effectLst>
                  <a:outerShdw blurRad="38100" dist="19050" dir="2700000" algn="tl" rotWithShape="0">
                    <a:schemeClr val="dk1">
                      <a:alpha val="40000"/>
                    </a:schemeClr>
                  </a:outerShdw>
                </a:effectLst>
              </a:rPr>
              <a:t> Year)</a:t>
            </a:r>
            <a:r>
              <a:rPr lang="en-US" sz="2000" b="0" cap="none" spc="0">
                <a:ln w="0">
                  <a:solidFill>
                    <a:sysClr val="windowText" lastClr="000000"/>
                  </a:solidFill>
                </a:ln>
                <a:solidFill>
                  <a:sysClr val="windowText" lastClr="000000"/>
                </a:solidFill>
                <a:effectLst>
                  <a:outerShdw blurRad="38100" dist="19050" dir="2700000" algn="tl" rotWithShape="0">
                    <a:schemeClr val="dk1">
                      <a:alpha val="40000"/>
                    </a:schemeClr>
                  </a:outerShdw>
                </a:effectLst>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Analysis_Pivots!$E$21</c:f>
              <c:strCache>
                <c:ptCount val="1"/>
                <c:pt idx="0">
                  <c:v>Total</c:v>
                </c:pt>
              </c:strCache>
            </c:strRef>
          </c:tx>
          <c:spPr>
            <a:solidFill>
              <a:schemeClr val="accent1"/>
            </a:solidFill>
            <a:ln>
              <a:noFill/>
            </a:ln>
            <a:effectLst/>
          </c:spPr>
          <c:invertIfNegative val="0"/>
          <c:cat>
            <c:strRef>
              <c:f>Analysis_Pivots!$D$22:$D$31</c:f>
              <c:strCache>
                <c:ptCount val="10"/>
                <c:pt idx="0">
                  <c:v>Guinea</c:v>
                </c:pt>
                <c:pt idx="1">
                  <c:v>Nigeria</c:v>
                </c:pt>
                <c:pt idx="2">
                  <c:v>Gabon</c:v>
                </c:pt>
                <c:pt idx="3">
                  <c:v>Democratic Republic of the Congo</c:v>
                </c:pt>
                <c:pt idx="4">
                  <c:v>Angola</c:v>
                </c:pt>
                <c:pt idx="5">
                  <c:v>Equatorial Guinea</c:v>
                </c:pt>
                <c:pt idx="6">
                  <c:v>Sudan</c:v>
                </c:pt>
                <c:pt idx="7">
                  <c:v>Madagascar</c:v>
                </c:pt>
                <c:pt idx="8">
                  <c:v>Benin</c:v>
                </c:pt>
                <c:pt idx="9">
                  <c:v>Central African Republic</c:v>
                </c:pt>
              </c:strCache>
            </c:strRef>
          </c:cat>
          <c:val>
            <c:numRef>
              <c:f>Analysis_Pivots!$E$22:$E$31</c:f>
              <c:numCache>
                <c:formatCode>0</c:formatCode>
                <c:ptCount val="10"/>
                <c:pt idx="0">
                  <c:v>60</c:v>
                </c:pt>
                <c:pt idx="1">
                  <c:v>56.999999999999993</c:v>
                </c:pt>
                <c:pt idx="2">
                  <c:v>56.999999999999993</c:v>
                </c:pt>
                <c:pt idx="3">
                  <c:v>55.000000000000007</c:v>
                </c:pt>
                <c:pt idx="4">
                  <c:v>53</c:v>
                </c:pt>
                <c:pt idx="5">
                  <c:v>53</c:v>
                </c:pt>
                <c:pt idx="6">
                  <c:v>46</c:v>
                </c:pt>
                <c:pt idx="7">
                  <c:v>46</c:v>
                </c:pt>
                <c:pt idx="8">
                  <c:v>44</c:v>
                </c:pt>
                <c:pt idx="9">
                  <c:v>41</c:v>
                </c:pt>
              </c:numCache>
            </c:numRef>
          </c:val>
          <c:extLst>
            <c:ext xmlns:c16="http://schemas.microsoft.com/office/drawing/2014/chart" uri="{C3380CC4-5D6E-409C-BE32-E72D297353CC}">
              <c16:uniqueId val="{00000001-82F9-403B-B027-F703C83B0893}"/>
            </c:ext>
          </c:extLst>
        </c:ser>
        <c:dLbls>
          <c:showLegendKey val="0"/>
          <c:showVal val="0"/>
          <c:showCatName val="0"/>
          <c:showSerName val="0"/>
          <c:showPercent val="0"/>
          <c:showBubbleSize val="0"/>
        </c:dLbls>
        <c:gapWidth val="182"/>
        <c:axId val="751369776"/>
        <c:axId val="751373136"/>
      </c:barChart>
      <c:catAx>
        <c:axId val="751369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51373136"/>
        <c:crosses val="autoZero"/>
        <c:auto val="1"/>
        <c:lblAlgn val="ctr"/>
        <c:lblOffset val="100"/>
        <c:noMultiLvlLbl val="0"/>
      </c:catAx>
      <c:valAx>
        <c:axId val="7513731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5136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451554</xdr:colOff>
      <xdr:row>0</xdr:row>
      <xdr:rowOff>112889</xdr:rowOff>
    </xdr:from>
    <xdr:to>
      <xdr:col>19</xdr:col>
      <xdr:colOff>183443</xdr:colOff>
      <xdr:row>52</xdr:row>
      <xdr:rowOff>84666</xdr:rowOff>
    </xdr:to>
    <xdr:sp macro="" textlink="">
      <xdr:nvSpPr>
        <xdr:cNvPr id="6" name="Rectangle 5">
          <a:extLst>
            <a:ext uri="{FF2B5EF4-FFF2-40B4-BE49-F238E27FC236}">
              <a16:creationId xmlns:a16="http://schemas.microsoft.com/office/drawing/2014/main" id="{C09AEC80-9A91-9634-48BF-C0BF573359C8}"/>
            </a:ext>
          </a:extLst>
        </xdr:cNvPr>
        <xdr:cNvSpPr/>
      </xdr:nvSpPr>
      <xdr:spPr>
        <a:xfrm>
          <a:off x="1058332" y="112889"/>
          <a:ext cx="18118667" cy="1186744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335280</xdr:colOff>
      <xdr:row>9</xdr:row>
      <xdr:rowOff>0</xdr:rowOff>
    </xdr:from>
    <xdr:to>
      <xdr:col>7</xdr:col>
      <xdr:colOff>684245</xdr:colOff>
      <xdr:row>30</xdr:row>
      <xdr:rowOff>171062</xdr:rowOff>
    </xdr:to>
    <xdr:graphicFrame macro="">
      <xdr:nvGraphicFramePr>
        <xdr:cNvPr id="3" name="Chart 2">
          <a:extLst>
            <a:ext uri="{FF2B5EF4-FFF2-40B4-BE49-F238E27FC236}">
              <a16:creationId xmlns:a16="http://schemas.microsoft.com/office/drawing/2014/main" id="{BBD78129-B71E-48DA-A078-AA426FD56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705556</xdr:colOff>
      <xdr:row>8</xdr:row>
      <xdr:rowOff>149209</xdr:rowOff>
    </xdr:from>
    <xdr:to>
      <xdr:col>13</xdr:col>
      <xdr:colOff>147485</xdr:colOff>
      <xdr:row>31</xdr:row>
      <xdr:rowOff>1</xdr:rowOff>
    </xdr:to>
    <xdr:graphicFrame macro="">
      <xdr:nvGraphicFramePr>
        <xdr:cNvPr id="4" name="Chart 3">
          <a:extLst>
            <a:ext uri="{FF2B5EF4-FFF2-40B4-BE49-F238E27FC236}">
              <a16:creationId xmlns:a16="http://schemas.microsoft.com/office/drawing/2014/main" id="{C0AB9D90-1DD0-4359-A3BB-8985A8DC7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344129</xdr:colOff>
      <xdr:row>31</xdr:row>
      <xdr:rowOff>23745</xdr:rowOff>
    </xdr:from>
    <xdr:to>
      <xdr:col>7</xdr:col>
      <xdr:colOff>696451</xdr:colOff>
      <xdr:row>51</xdr:row>
      <xdr:rowOff>122903</xdr:rowOff>
    </xdr:to>
    <xdr:graphicFrame macro="">
      <xdr:nvGraphicFramePr>
        <xdr:cNvPr id="5" name="Chart 4">
          <a:extLst>
            <a:ext uri="{FF2B5EF4-FFF2-40B4-BE49-F238E27FC236}">
              <a16:creationId xmlns:a16="http://schemas.microsoft.com/office/drawing/2014/main" id="{5B6FFD09-F460-4E3D-A8C0-9E4700CF3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719667</xdr:colOff>
      <xdr:row>31</xdr:row>
      <xdr:rowOff>42334</xdr:rowOff>
    </xdr:from>
    <xdr:to>
      <xdr:col>13</xdr:col>
      <xdr:colOff>141566</xdr:colOff>
      <xdr:row>51</xdr:row>
      <xdr:rowOff>155223</xdr:rowOff>
    </xdr:to>
    <xdr:graphicFrame macro="">
      <xdr:nvGraphicFramePr>
        <xdr:cNvPr id="2" name="Chart 1">
          <a:extLst>
            <a:ext uri="{FF2B5EF4-FFF2-40B4-BE49-F238E27FC236}">
              <a16:creationId xmlns:a16="http://schemas.microsoft.com/office/drawing/2014/main" id="{ECC3BC35-A26F-456C-8F76-5ED578EC0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153526</xdr:colOff>
      <xdr:row>8</xdr:row>
      <xdr:rowOff>152116</xdr:rowOff>
    </xdr:from>
    <xdr:to>
      <xdr:col>18</xdr:col>
      <xdr:colOff>395111</xdr:colOff>
      <xdr:row>29</xdr:row>
      <xdr:rowOff>127000</xdr:rowOff>
    </xdr:to>
    <mc:AlternateContent xmlns:mc="http://schemas.openxmlformats.org/markup-compatibility/2006">
      <mc:Choice xmlns:a14="http://schemas.microsoft.com/office/drawing/2010/main" Requires="a14">
        <xdr:graphicFrame macro="">
          <xdr:nvGraphicFramePr>
            <xdr:cNvPr id="7" name="Country">
              <a:extLst>
                <a:ext uri="{FF2B5EF4-FFF2-40B4-BE49-F238E27FC236}">
                  <a16:creationId xmlns:a16="http://schemas.microsoft.com/office/drawing/2014/main" id="{A7E9E22E-2A35-403E-6B13-7DE8BD35220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5506415" y="3976227"/>
              <a:ext cx="3275474" cy="382721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nye" refreshedDate="46078.493071064811" createdVersion="8" refreshedVersion="8" minRefreshableVersion="3" recordCount="1164" xr:uid="{253542C3-613C-4545-967A-4620239B04D2}">
  <cacheSource type="worksheet">
    <worksheetSource name="Merge2"/>
  </cacheSource>
  <cacheFields count="9">
    <cacheField name="Country" numFmtId="49">
      <sharedItems count="47">
        <s v="Angola"/>
        <s v="Benin"/>
        <s v="Botswana"/>
        <s v="Burkina Faso"/>
        <s v="Burundi"/>
        <s v="Cameroon"/>
        <s v="Central African Republic"/>
        <s v="Comoros"/>
        <s v="Congo"/>
        <s v="Côte d'Ivoire"/>
        <s v="Democratic Republic of the Congo"/>
        <s v="Cabo Verde"/>
        <s v="Ethiopia"/>
        <s v="Gabon"/>
        <s v="Ghana"/>
        <s v="Guinea"/>
        <s v="Gambia"/>
        <s v="Guinea-Bissau"/>
        <s v="Equatorial Guinea"/>
        <s v="Kenya"/>
        <s v="Liberia"/>
        <s v="Lesotho"/>
        <s v="Madagascar"/>
        <s v="Mali"/>
        <s v="Mozambique"/>
        <s v="Mauritania"/>
        <s v="Mauritius"/>
        <s v="Malawi"/>
        <s v="Namibia"/>
        <s v="Niger"/>
        <s v="Nigeria"/>
        <s v="Rwanda"/>
        <s v="Sudan"/>
        <s v="Senegal"/>
        <s v="Sierra Leone"/>
        <s v="Somalia"/>
        <s v="South Sudan"/>
        <s v="Sao Tome and Principe"/>
        <s v="Eswatini"/>
        <s v="Seychelles"/>
        <s v="Chad"/>
        <s v="Togo"/>
        <s v="United Republic of Tanzania"/>
        <s v="Uganda"/>
        <s v="South Africa"/>
        <s v="Zambia"/>
        <s v="Zimbabwe"/>
      </sharedItems>
    </cacheField>
    <cacheField name="Year" numFmtId="1">
      <sharedItems containsSemiMixedTypes="0" containsString="0" containsNumber="1" containsInteger="1" minValue="2000" maxValue="2024" count="25">
        <n v="2000"/>
        <n v="2001"/>
        <n v="2002"/>
        <n v="2003"/>
        <n v="2004"/>
        <n v="2005"/>
        <n v="2006"/>
        <n v="2007"/>
        <n v="2008"/>
        <n v="2009"/>
        <n v="2010"/>
        <n v="2011"/>
        <n v="2012"/>
        <n v="2013"/>
        <n v="2014"/>
        <n v="2015"/>
        <n v="2016"/>
        <n v="2017"/>
        <n v="2018"/>
        <n v="2019"/>
        <n v="2020"/>
        <n v="2021"/>
        <n v="2022"/>
        <n v="2023"/>
        <n v="2024"/>
      </sharedItems>
    </cacheField>
    <cacheField name="Country code" numFmtId="49">
      <sharedItems/>
    </cacheField>
    <cacheField name="Region" numFmtId="49">
      <sharedItems/>
    </cacheField>
    <cacheField name="Cases" numFmtId="1">
      <sharedItems containsString="0" containsBlank="1" containsNumber="1" containsInteger="1" minValue="0" maxValue="333017"/>
    </cacheField>
    <cacheField name="Coverage (%)" numFmtId="1">
      <sharedItems containsSemiMixedTypes="0" containsString="0" containsNumber="1" minValue="16" maxValue="99"/>
    </cacheField>
    <cacheField name="Coverage" numFmtId="2">
      <sharedItems containsSemiMixedTypes="0" containsString="0" containsNumber="1" minValue="0.16" maxValue="0.99"/>
    </cacheField>
    <cacheField name="Population" numFmtId="1">
      <sharedItems containsSemiMixedTypes="0" containsString="0" containsNumber="1" containsInteger="1" minValue="81131" maxValue="232679478"/>
    </cacheField>
    <cacheField name="Incidence_per_100k" numFmtId="2">
      <sharedItems containsString="0" containsBlank="1" containsNumber="1" minValue="0" maxValue="800.67646612681665"/>
    </cacheField>
  </cacheFields>
  <extLst>
    <ext xmlns:x14="http://schemas.microsoft.com/office/spreadsheetml/2009/9/main" uri="{725AE2AE-9491-48be-B2B4-4EB974FC3084}">
      <x14:pivotCacheDefinition pivotCacheId="16449731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4">
  <r>
    <x v="0"/>
    <x v="0"/>
    <s v="AGO"/>
    <s v="Sub-Saharan Africa"/>
    <n v="2219"/>
    <n v="41"/>
    <n v="0.41"/>
    <n v="16194869"/>
    <n v="13.701870635693318"/>
  </r>
  <r>
    <x v="0"/>
    <x v="1"/>
    <s v="AGO"/>
    <s v="Sub-Saharan Africa"/>
    <n v="9046"/>
    <n v="72"/>
    <n v="0.72"/>
    <n v="16747208"/>
    <n v="54.014973719798547"/>
  </r>
  <r>
    <x v="0"/>
    <x v="2"/>
    <s v="AGO"/>
    <s v="Sub-Saharan Africa"/>
    <n v="11945"/>
    <n v="74"/>
    <n v="0.74"/>
    <n v="17327699"/>
    <n v="68.935869673174722"/>
  </r>
  <r>
    <x v="0"/>
    <x v="3"/>
    <s v="AGO"/>
    <s v="Sub-Saharan Africa"/>
    <n v="1196"/>
    <n v="62"/>
    <n v="0.62"/>
    <n v="17943712"/>
    <n v="6.6652875391669237"/>
  </r>
  <r>
    <x v="0"/>
    <x v="4"/>
    <s v="AGO"/>
    <s v="Sub-Saharan Africa"/>
    <n v="29"/>
    <n v="64"/>
    <n v="0.64"/>
    <n v="18600423"/>
    <n v="0.15591043278961988"/>
  </r>
  <r>
    <x v="0"/>
    <x v="5"/>
    <s v="AGO"/>
    <s v="Sub-Saharan Africa"/>
    <n v="258"/>
    <n v="45"/>
    <n v="0.45"/>
    <n v="19291161"/>
    <n v="1.3374000662790591"/>
  </r>
  <r>
    <x v="0"/>
    <x v="6"/>
    <s v="AGO"/>
    <s v="Sub-Saharan Africa"/>
    <n v="765"/>
    <n v="48"/>
    <n v="0.48"/>
    <n v="20015279"/>
    <n v="3.8220801218908815"/>
  </r>
  <r>
    <x v="0"/>
    <x v="7"/>
    <s v="AGO"/>
    <s v="Sub-Saharan Africa"/>
    <n v="1014"/>
    <n v="57.999999999999993"/>
    <n v="0.57999999999999996"/>
    <n v="20778561"/>
    <n v="4.8800299501009716"/>
  </r>
  <r>
    <x v="0"/>
    <x v="8"/>
    <s v="AGO"/>
    <s v="Sub-Saharan Africa"/>
    <n v="265"/>
    <n v="57.999999999999993"/>
    <n v="0.57999999999999996"/>
    <n v="21578655"/>
    <n v="1.2280654192765954"/>
  </r>
  <r>
    <x v="0"/>
    <x v="9"/>
    <s v="AGO"/>
    <s v="Sub-Saharan Africa"/>
    <n v="2807"/>
    <n v="57.999999999999993"/>
    <n v="0.57999999999999996"/>
    <n v="22414773"/>
    <n v="12.522990975639145"/>
  </r>
  <r>
    <x v="0"/>
    <x v="10"/>
    <s v="AGO"/>
    <s v="Sub-Saharan Africa"/>
    <n v="1190"/>
    <n v="59"/>
    <n v="0.59"/>
    <n v="23294825"/>
    <n v="5.1084307351525498"/>
  </r>
  <r>
    <x v="0"/>
    <x v="11"/>
    <s v="AGO"/>
    <s v="Sub-Saharan Africa"/>
    <n v="1449"/>
    <n v="59"/>
    <n v="0.59"/>
    <n v="24218352"/>
    <n v="5.9830660649411653"/>
  </r>
  <r>
    <x v="0"/>
    <x v="12"/>
    <s v="AGO"/>
    <s v="Sub-Saharan Africa"/>
    <n v="4458"/>
    <n v="59"/>
    <n v="0.59"/>
    <n v="25177394"/>
    <n v="17.706359919537345"/>
  </r>
  <r>
    <x v="0"/>
    <x v="13"/>
    <s v="AGO"/>
    <s v="Sub-Saharan Africa"/>
    <n v="8523"/>
    <n v="59"/>
    <n v="0.59"/>
    <n v="26165620"/>
    <n v="32.573277453391128"/>
  </r>
  <r>
    <x v="0"/>
    <x v="14"/>
    <s v="AGO"/>
    <s v="Sub-Saharan Africa"/>
    <n v="11699"/>
    <n v="56.000000000000007"/>
    <n v="0.56000000000000005"/>
    <n v="27160769"/>
    <n v="43.073154519299507"/>
  </r>
  <r>
    <x v="0"/>
    <x v="15"/>
    <s v="AGO"/>
    <s v="Sub-Saharan Africa"/>
    <n v="119"/>
    <n v="52"/>
    <n v="0.52"/>
    <n v="28157798"/>
    <n v="0.42261827434091265"/>
  </r>
  <r>
    <x v="0"/>
    <x v="16"/>
    <s v="AGO"/>
    <s v="Sub-Saharan Africa"/>
    <n v="53"/>
    <n v="49"/>
    <n v="0.49"/>
    <n v="29183070"/>
    <n v="0.18161214704278886"/>
  </r>
  <r>
    <x v="0"/>
    <x v="17"/>
    <s v="AGO"/>
    <s v="Sub-Saharan Africa"/>
    <n v="29"/>
    <n v="47"/>
    <n v="0.47"/>
    <n v="30234839"/>
    <n v="9.5915840663150218E-2"/>
  </r>
  <r>
    <x v="0"/>
    <x v="18"/>
    <s v="AGO"/>
    <s v="Sub-Saharan Africa"/>
    <n v="57"/>
    <n v="56.000000000000007"/>
    <n v="0.56000000000000005"/>
    <n v="31297155"/>
    <n v="0.18212518038780201"/>
  </r>
  <r>
    <x v="0"/>
    <x v="19"/>
    <s v="AGO"/>
    <s v="Sub-Saharan Africa"/>
    <n v="2987"/>
    <n v="59"/>
    <n v="0.59"/>
    <n v="32375632"/>
    <n v="9.2260747218772448"/>
  </r>
  <r>
    <x v="0"/>
    <x v="20"/>
    <s v="AGO"/>
    <s v="Sub-Saharan Africa"/>
    <n v="1085"/>
    <n v="54"/>
    <n v="0.54"/>
    <n v="33451132"/>
    <n v="3.2435374683284262"/>
  </r>
  <r>
    <x v="0"/>
    <x v="21"/>
    <s v="AGO"/>
    <s v="Sub-Saharan Africa"/>
    <n v="300"/>
    <n v="48"/>
    <n v="0.48"/>
    <n v="34532429"/>
    <n v="0.86874861887068533"/>
  </r>
  <r>
    <x v="0"/>
    <x v="22"/>
    <s v="AGO"/>
    <s v="Sub-Saharan Africa"/>
    <n v="3271"/>
    <n v="50"/>
    <n v="0.5"/>
    <n v="35635029"/>
    <n v="9.1791703045899027"/>
  </r>
  <r>
    <x v="0"/>
    <x v="23"/>
    <s v="AGO"/>
    <s v="Sub-Saharan Africa"/>
    <n v="3508"/>
    <n v="63"/>
    <n v="0.63"/>
    <n v="36749906"/>
    <n v="9.54560264725575"/>
  </r>
  <r>
    <x v="0"/>
    <x v="24"/>
    <s v="AGO"/>
    <s v="Sub-Saharan Africa"/>
    <n v="619"/>
    <n v="53"/>
    <n v="0.53"/>
    <n v="37885849"/>
    <n v="1.6338554271279497"/>
  </r>
  <r>
    <x v="1"/>
    <x v="0"/>
    <s v="BEN"/>
    <s v="Sub-Saharan Africa"/>
    <n v="4244"/>
    <n v="70"/>
    <n v="0.7"/>
    <n v="7221619"/>
    <n v="58.767985406042605"/>
  </r>
  <r>
    <x v="1"/>
    <x v="1"/>
    <s v="BEN"/>
    <s v="Sub-Saharan Africa"/>
    <n v="5859"/>
    <n v="68"/>
    <n v="0.68"/>
    <n v="7445596"/>
    <n v="78.690812662948673"/>
  </r>
  <r>
    <x v="1"/>
    <x v="2"/>
    <s v="BEN"/>
    <s v="Sub-Saharan Africa"/>
    <n v="1588"/>
    <n v="66"/>
    <n v="0.66"/>
    <n v="7675426"/>
    <n v="20.689405382841294"/>
  </r>
  <r>
    <x v="1"/>
    <x v="3"/>
    <s v="BEN"/>
    <s v="Sub-Saharan Africa"/>
    <n v="217"/>
    <n v="65"/>
    <n v="0.65"/>
    <n v="7913070"/>
    <n v="2.7422985010874412"/>
  </r>
  <r>
    <x v="1"/>
    <x v="4"/>
    <s v="BEN"/>
    <s v="Sub-Saharan Africa"/>
    <n v="262"/>
    <n v="63"/>
    <n v="0.63"/>
    <n v="8159094"/>
    <n v="3.2111408448045822"/>
  </r>
  <r>
    <x v="1"/>
    <x v="5"/>
    <s v="BEN"/>
    <s v="Sub-Saharan Africa"/>
    <n v="210"/>
    <n v="61"/>
    <n v="0.61"/>
    <n v="8426144"/>
    <n v="2.4922431897674668"/>
  </r>
  <r>
    <x v="1"/>
    <x v="6"/>
    <s v="BEN"/>
    <s v="Sub-Saharan Africa"/>
    <n v="176"/>
    <n v="66"/>
    <n v="0.66"/>
    <n v="8693242"/>
    <n v="2.0245611476132841"/>
  </r>
  <r>
    <x v="1"/>
    <x v="7"/>
    <s v="BEN"/>
    <s v="Sub-Saharan Africa"/>
    <n v="341"/>
    <n v="70"/>
    <n v="0.7"/>
    <n v="8953969"/>
    <n v="3.8083669934528475"/>
  </r>
  <r>
    <x v="1"/>
    <x v="8"/>
    <s v="BEN"/>
    <s v="Sub-Saharan Africa"/>
    <n v="928"/>
    <n v="66"/>
    <n v="0.66"/>
    <n v="9228466"/>
    <n v="10.055842433617896"/>
  </r>
  <r>
    <x v="1"/>
    <x v="9"/>
    <s v="BEN"/>
    <s v="Sub-Saharan Africa"/>
    <n v="1461"/>
    <n v="71"/>
    <n v="0.71"/>
    <n v="9509423"/>
    <n v="15.363708187131859"/>
  </r>
  <r>
    <x v="1"/>
    <x v="10"/>
    <s v="BEN"/>
    <s v="Sub-Saharan Africa"/>
    <n v="392"/>
    <n v="68"/>
    <n v="0.68"/>
    <n v="9797484"/>
    <n v="4.0010272024940274"/>
  </r>
  <r>
    <x v="1"/>
    <x v="11"/>
    <s v="BEN"/>
    <s v="Sub-Saharan Africa"/>
    <n v="426"/>
    <n v="70"/>
    <n v="0.7"/>
    <n v="10093623"/>
    <n v="4.2204865388770711"/>
  </r>
  <r>
    <x v="1"/>
    <x v="12"/>
    <s v="BEN"/>
    <s v="Sub-Saharan Africa"/>
    <n v="288"/>
    <n v="74"/>
    <n v="0.74"/>
    <n v="10397657"/>
    <n v="2.7698547855540916"/>
  </r>
  <r>
    <x v="1"/>
    <x v="13"/>
    <s v="BEN"/>
    <s v="Sub-Saharan Africa"/>
    <n v="637"/>
    <n v="68"/>
    <n v="0.68"/>
    <n v="10708834"/>
    <n v="5.9483600175331874"/>
  </r>
  <r>
    <x v="1"/>
    <x v="14"/>
    <s v="BEN"/>
    <s v="Sub-Saharan Africa"/>
    <n v="786"/>
    <n v="65"/>
    <n v="0.65"/>
    <n v="11030004"/>
    <n v="7.1260173613717637"/>
  </r>
  <r>
    <x v="1"/>
    <x v="15"/>
    <s v="BEN"/>
    <s v="Sub-Saharan Africa"/>
    <n v="55"/>
    <n v="67"/>
    <n v="0.67"/>
    <n v="11360681"/>
    <n v="0.48412590759303947"/>
  </r>
  <r>
    <x v="1"/>
    <x v="16"/>
    <s v="BEN"/>
    <s v="Sub-Saharan Africa"/>
    <n v="89"/>
    <n v="68"/>
    <n v="0.68"/>
    <n v="11697842"/>
    <n v="0.76082409046044563"/>
  </r>
  <r>
    <x v="1"/>
    <x v="17"/>
    <s v="BEN"/>
    <s v="Sub-Saharan Africa"/>
    <n v="97"/>
    <n v="65"/>
    <n v="0.65"/>
    <n v="12039780"/>
    <n v="0.80566256194050057"/>
  </r>
  <r>
    <x v="1"/>
    <x v="18"/>
    <s v="BEN"/>
    <s v="Sub-Saharan Africa"/>
    <n v="493"/>
    <n v="61"/>
    <n v="0.61"/>
    <n v="12383347"/>
    <n v="3.9811530759818003"/>
  </r>
  <r>
    <x v="1"/>
    <x v="19"/>
    <s v="BEN"/>
    <s v="Sub-Saharan Africa"/>
    <n v="437"/>
    <n v="57.999999999999993"/>
    <n v="0.57999999999999996"/>
    <n v="12726755"/>
    <n v="3.433711107033961"/>
  </r>
  <r>
    <x v="1"/>
    <x v="20"/>
    <s v="BEN"/>
    <s v="Sub-Saharan Africa"/>
    <n v="18"/>
    <n v="54"/>
    <n v="0.54"/>
    <n v="13070169"/>
    <n v="0.13771818864775201"/>
  </r>
  <r>
    <x v="1"/>
    <x v="21"/>
    <s v="BEN"/>
    <s v="Sub-Saharan Africa"/>
    <n v="35"/>
    <n v="53"/>
    <n v="0.53"/>
    <n v="13413417"/>
    <n v="0.26093276605058946"/>
  </r>
  <r>
    <x v="1"/>
    <x v="22"/>
    <s v="BEN"/>
    <s v="Sub-Saharan Africa"/>
    <n v="455"/>
    <n v="52"/>
    <n v="0.52"/>
    <n v="13759501"/>
    <n v="3.3068059662919462"/>
  </r>
  <r>
    <x v="1"/>
    <x v="23"/>
    <s v="BEN"/>
    <s v="Sub-Saharan Africa"/>
    <n v="478"/>
    <n v="52"/>
    <n v="0.52"/>
    <n v="14111034"/>
    <n v="3.3874200855869243"/>
  </r>
  <r>
    <x v="1"/>
    <x v="24"/>
    <s v="BEN"/>
    <s v="Sub-Saharan Africa"/>
    <n v="785"/>
    <n v="44"/>
    <n v="0.44"/>
    <n v="14462724"/>
    <n v="5.427746529630241"/>
  </r>
  <r>
    <x v="2"/>
    <x v="0"/>
    <s v="BWA"/>
    <s v="Sub-Saharan Africa"/>
    <n v="2672"/>
    <n v="91"/>
    <n v="0.91"/>
    <n v="1677382"/>
    <n v="159.29585508846523"/>
  </r>
  <r>
    <x v="2"/>
    <x v="1"/>
    <s v="BWA"/>
    <s v="Sub-Saharan Africa"/>
    <n v="1"/>
    <n v="91"/>
    <n v="0.91"/>
    <n v="1712254"/>
    <n v="5.840255008894709E-2"/>
  </r>
  <r>
    <x v="2"/>
    <x v="2"/>
    <s v="BWA"/>
    <s v="Sub-Saharan Africa"/>
    <n v="7"/>
    <n v="92"/>
    <n v="0.92"/>
    <n v="1744763"/>
    <n v="0.40120062151707714"/>
  </r>
  <r>
    <x v="2"/>
    <x v="3"/>
    <s v="BWA"/>
    <s v="Sub-Saharan Africa"/>
    <n v="59"/>
    <n v="92"/>
    <n v="0.92"/>
    <n v="1775736"/>
    <n v="3.3225659670131145"/>
  </r>
  <r>
    <x v="2"/>
    <x v="4"/>
    <s v="BWA"/>
    <s v="Sub-Saharan Africa"/>
    <n v="1"/>
    <n v="93"/>
    <n v="0.93"/>
    <n v="1807146"/>
    <n v="5.5335872143147259E-2"/>
  </r>
  <r>
    <x v="2"/>
    <x v="5"/>
    <s v="BWA"/>
    <s v="Sub-Saharan Africa"/>
    <n v="5"/>
    <n v="93"/>
    <n v="0.93"/>
    <n v="1839877"/>
    <n v="0.27175729681929822"/>
  </r>
  <r>
    <x v="2"/>
    <x v="6"/>
    <s v="BWA"/>
    <s v="Sub-Saharan Africa"/>
    <n v="6"/>
    <n v="94"/>
    <n v="0.94"/>
    <n v="1874516"/>
    <n v="0.32008262399467385"/>
  </r>
  <r>
    <x v="2"/>
    <x v="7"/>
    <s v="BWA"/>
    <s v="Sub-Saharan Africa"/>
    <n v="1"/>
    <n v="95"/>
    <n v="0.95"/>
    <n v="1911201"/>
    <n v="5.232312038346569E-2"/>
  </r>
  <r>
    <x v="2"/>
    <x v="8"/>
    <s v="BWA"/>
    <s v="Sub-Saharan Africa"/>
    <n v="0"/>
    <n v="95"/>
    <n v="0.95"/>
    <n v="1949970"/>
    <n v="0"/>
  </r>
  <r>
    <x v="2"/>
    <x v="9"/>
    <s v="BWA"/>
    <s v="Sub-Saharan Africa"/>
    <n v="184"/>
    <n v="96"/>
    <n v="0.96"/>
    <n v="1990673"/>
    <n v="9.2431052211990608"/>
  </r>
  <r>
    <x v="2"/>
    <x v="10"/>
    <s v="BWA"/>
    <s v="Sub-Saharan Africa"/>
    <n v="853"/>
    <n v="96"/>
    <n v="0.96"/>
    <n v="2033111"/>
    <n v="41.955407255186756"/>
  </r>
  <r>
    <x v="2"/>
    <x v="11"/>
    <s v="BWA"/>
    <s v="Sub-Saharan Africa"/>
    <n v="8"/>
    <n v="97"/>
    <n v="0.97"/>
    <n v="2073535"/>
    <n v="0.38581456305295064"/>
  </r>
  <r>
    <x v="2"/>
    <x v="12"/>
    <s v="BWA"/>
    <s v="Sub-Saharan Africa"/>
    <n v="7"/>
    <n v="97"/>
    <n v="0.97"/>
    <n v="2108617"/>
    <n v="0.33197114506807068"/>
  </r>
  <r>
    <x v="2"/>
    <x v="13"/>
    <s v="BWA"/>
    <s v="Sub-Saharan Africa"/>
    <n v="1"/>
    <n v="97"/>
    <n v="0.97"/>
    <n v="2140682"/>
    <n v="4.6714084576784408E-2"/>
  </r>
  <r>
    <x v="2"/>
    <x v="14"/>
    <s v="BWA"/>
    <s v="Sub-Saharan Africa"/>
    <n v="1"/>
    <n v="97"/>
    <n v="0.97"/>
    <n v="2172044"/>
    <n v="4.6039582991873093E-2"/>
  </r>
  <r>
    <x v="2"/>
    <x v="15"/>
    <s v="BWA"/>
    <s v="Sub-Saharan Africa"/>
    <n v="0"/>
    <n v="97"/>
    <n v="0.97"/>
    <n v="2203273"/>
    <n v="0"/>
  </r>
  <r>
    <x v="2"/>
    <x v="16"/>
    <s v="BWA"/>
    <s v="Sub-Saharan Africa"/>
    <n v="1"/>
    <n v="97"/>
    <n v="0.97"/>
    <n v="2234776"/>
    <n v="4.474721403845397E-2"/>
  </r>
  <r>
    <x v="2"/>
    <x v="17"/>
    <s v="BWA"/>
    <s v="Sub-Saharan Africa"/>
    <n v="0"/>
    <n v="97"/>
    <n v="0.97"/>
    <n v="2266747"/>
    <n v="0"/>
  </r>
  <r>
    <x v="2"/>
    <x v="18"/>
    <s v="BWA"/>
    <s v="Sub-Saharan Africa"/>
    <n v="0"/>
    <n v="97"/>
    <n v="0.97"/>
    <n v="2299141"/>
    <n v="0"/>
  </r>
  <r>
    <x v="2"/>
    <x v="19"/>
    <s v="BWA"/>
    <s v="Sub-Saharan Africa"/>
    <n v="0"/>
    <n v="97"/>
    <n v="0.97"/>
    <n v="2332083"/>
    <n v="0"/>
  </r>
  <r>
    <x v="2"/>
    <x v="20"/>
    <s v="BWA"/>
    <s v="Sub-Saharan Africa"/>
    <n v="5"/>
    <n v="87"/>
    <n v="0.87"/>
    <n v="2365894"/>
    <n v="0.21133660256968403"/>
  </r>
  <r>
    <x v="2"/>
    <x v="21"/>
    <s v="BWA"/>
    <s v="Sub-Saharan Africa"/>
    <n v="0"/>
    <n v="97"/>
    <n v="0.97"/>
    <n v="2401441"/>
    <n v="0"/>
  </r>
  <r>
    <x v="2"/>
    <x v="22"/>
    <s v="BWA"/>
    <s v="Sub-Saharan Africa"/>
    <n v="1"/>
    <n v="90"/>
    <n v="0.9"/>
    <n v="2439892"/>
    <n v="4.0985420666160628E-2"/>
  </r>
  <r>
    <x v="2"/>
    <x v="23"/>
    <s v="BWA"/>
    <s v="Sub-Saharan Africa"/>
    <n v="63"/>
    <n v="97"/>
    <n v="0.97"/>
    <n v="2480244"/>
    <n v="2.540072670269538"/>
  </r>
  <r>
    <x v="2"/>
    <x v="24"/>
    <s v="BWA"/>
    <s v="Sub-Saharan Africa"/>
    <n v="3"/>
    <n v="97"/>
    <n v="0.97"/>
    <n v="2521139"/>
    <n v="0.11899383572266344"/>
  </r>
  <r>
    <x v="3"/>
    <x v="0"/>
    <s v="BFA"/>
    <s v="Sub-Saharan Africa"/>
    <n v="6074"/>
    <n v="48"/>
    <n v="0.48"/>
    <n v="11925546"/>
    <n v="50.932678470235238"/>
  </r>
  <r>
    <x v="3"/>
    <x v="1"/>
    <s v="BFA"/>
    <s v="Sub-Saharan Africa"/>
    <n v="4174"/>
    <n v="63"/>
    <n v="0.63"/>
    <n v="12295001"/>
    <n v="33.948756897213755"/>
  </r>
  <r>
    <x v="3"/>
    <x v="2"/>
    <s v="BFA"/>
    <s v="Sub-Saharan Africa"/>
    <n v="1744"/>
    <n v="64"/>
    <n v="0.64"/>
    <n v="12680897"/>
    <n v="13.75297031432398"/>
  </r>
  <r>
    <x v="3"/>
    <x v="3"/>
    <s v="BFA"/>
    <s v="Sub-Saharan Africa"/>
    <n v="2946"/>
    <n v="76"/>
    <n v="0.76"/>
    <n v="13082532"/>
    <n v="22.518576679193295"/>
  </r>
  <r>
    <x v="3"/>
    <x v="4"/>
    <s v="BFA"/>
    <s v="Sub-Saharan Africa"/>
    <n v="77"/>
    <n v="78"/>
    <n v="0.78"/>
    <n v="13500533"/>
    <n v="0.57034785219220607"/>
  </r>
  <r>
    <x v="3"/>
    <x v="5"/>
    <s v="BFA"/>
    <s v="Sub-Saharan Africa"/>
    <n v="253"/>
    <n v="84"/>
    <n v="0.84"/>
    <n v="13932123"/>
    <n v="1.8159472178073648"/>
  </r>
  <r>
    <x v="3"/>
    <x v="6"/>
    <s v="BFA"/>
    <s v="Sub-Saharan Africa"/>
    <n v="125"/>
    <n v="88"/>
    <n v="0.88"/>
    <n v="14373707"/>
    <n v="0.8696434399281967"/>
  </r>
  <r>
    <x v="3"/>
    <x v="7"/>
    <s v="BFA"/>
    <s v="Sub-Saharan Africa"/>
    <n v="12"/>
    <n v="94"/>
    <n v="0.94"/>
    <n v="14816307"/>
    <n v="8.0991842299164021E-2"/>
  </r>
  <r>
    <x v="3"/>
    <x v="8"/>
    <s v="BFA"/>
    <s v="Sub-Saharan Africa"/>
    <n v="395"/>
    <n v="94"/>
    <n v="0.94"/>
    <n v="15258093"/>
    <n v="2.5887900932311791"/>
  </r>
  <r>
    <x v="3"/>
    <x v="9"/>
    <s v="BFA"/>
    <s v="Sub-Saharan Africa"/>
    <n v="54118"/>
    <n v="94"/>
    <n v="0.94"/>
    <n v="15710066"/>
    <n v="344.47977494174756"/>
  </r>
  <r>
    <x v="3"/>
    <x v="10"/>
    <s v="BFA"/>
    <s v="Sub-Saharan Africa"/>
    <n v="2511"/>
    <n v="92"/>
    <n v="0.92"/>
    <n v="16176498"/>
    <n v="15.522519150931185"/>
  </r>
  <r>
    <x v="3"/>
    <x v="11"/>
    <s v="BFA"/>
    <s v="Sub-Saharan Africa"/>
    <n v="860"/>
    <n v="89"/>
    <n v="0.89"/>
    <n v="16661908"/>
    <n v="5.161473703971958"/>
  </r>
  <r>
    <x v="3"/>
    <x v="12"/>
    <s v="BFA"/>
    <s v="Sub-Saharan Africa"/>
    <n v="7362"/>
    <n v="87"/>
    <n v="0.87"/>
    <n v="17172287"/>
    <n v="42.871400879801271"/>
  </r>
  <r>
    <x v="3"/>
    <x v="13"/>
    <s v="BFA"/>
    <s v="Sub-Saharan Africa"/>
    <n v="375"/>
    <n v="82"/>
    <n v="0.82"/>
    <n v="17695409"/>
    <n v="2.1191937411562511"/>
  </r>
  <r>
    <x v="3"/>
    <x v="14"/>
    <s v="BFA"/>
    <s v="Sub-Saharan Africa"/>
    <n v="343"/>
    <n v="88"/>
    <n v="0.88"/>
    <n v="18229461"/>
    <n v="1.8815696196393299"/>
  </r>
  <r>
    <x v="3"/>
    <x v="15"/>
    <s v="BFA"/>
    <s v="Sub-Saharan Africa"/>
    <n v="99"/>
    <n v="88"/>
    <n v="0.88"/>
    <n v="18777487"/>
    <n v="0.52722709913206167"/>
  </r>
  <r>
    <x v="3"/>
    <x v="16"/>
    <s v="BFA"/>
    <s v="Sub-Saharan Africa"/>
    <n v="226"/>
    <n v="88"/>
    <n v="0.88"/>
    <n v="19334856"/>
    <n v="1.1688734583800366"/>
  </r>
  <r>
    <x v="3"/>
    <x v="17"/>
    <s v="BFA"/>
    <s v="Sub-Saharan Africa"/>
    <n v="49"/>
    <n v="88"/>
    <n v="0.88"/>
    <n v="19894407"/>
    <n v="0.24630037980021219"/>
  </r>
  <r>
    <x v="3"/>
    <x v="18"/>
    <s v="BFA"/>
    <s v="Sub-Saharan Africa"/>
    <n v="4072"/>
    <n v="88"/>
    <n v="0.88"/>
    <n v="20438288"/>
    <n v="19.923390843694932"/>
  </r>
  <r>
    <x v="3"/>
    <x v="19"/>
    <s v="BFA"/>
    <s v="Sub-Saharan Africa"/>
    <n v="672"/>
    <n v="88"/>
    <n v="0.88"/>
    <n v="20961952"/>
    <n v="3.2058083140348761"/>
  </r>
  <r>
    <x v="3"/>
    <x v="20"/>
    <s v="BFA"/>
    <s v="Sub-Saharan Africa"/>
    <n v="2480"/>
    <n v="88"/>
    <n v="0.88"/>
    <n v="21478690"/>
    <n v="11.546328011624546"/>
  </r>
  <r>
    <x v="3"/>
    <x v="21"/>
    <s v="BFA"/>
    <s v="Sub-Saharan Africa"/>
    <m/>
    <n v="88"/>
    <n v="0.88"/>
    <n v="21995243"/>
    <m/>
  </r>
  <r>
    <x v="3"/>
    <x v="22"/>
    <s v="BFA"/>
    <s v="Sub-Saharan Africa"/>
    <n v="252"/>
    <n v="88"/>
    <n v="0.88"/>
    <n v="22509038"/>
    <n v="1.1195502890883209"/>
  </r>
  <r>
    <x v="3"/>
    <x v="23"/>
    <s v="BFA"/>
    <s v="Sub-Saharan Africa"/>
    <n v="680"/>
    <n v="88"/>
    <n v="0.88"/>
    <n v="23025776"/>
    <n v="2.9532120871843799"/>
  </r>
  <r>
    <x v="3"/>
    <x v="24"/>
    <s v="BFA"/>
    <s v="Sub-Saharan Africa"/>
    <n v="4397"/>
    <n v="88"/>
    <n v="0.88"/>
    <n v="23548781"/>
    <n v="18.67187944887678"/>
  </r>
  <r>
    <x v="4"/>
    <x v="0"/>
    <s v="BDI"/>
    <s v="Sub-Saharan Africa"/>
    <n v="18363"/>
    <n v="72"/>
    <n v="0.72"/>
    <n v="6470194"/>
    <n v="283.80910989685935"/>
  </r>
  <r>
    <x v="4"/>
    <x v="1"/>
    <s v="BDI"/>
    <s v="Sub-Saharan Africa"/>
    <m/>
    <n v="73"/>
    <n v="0.73"/>
    <n v="6634365"/>
    <m/>
  </r>
  <r>
    <x v="4"/>
    <x v="2"/>
    <s v="BDI"/>
    <s v="Sub-Saharan Africa"/>
    <n v="1016"/>
    <n v="75"/>
    <n v="0.75"/>
    <n v="6824132"/>
    <n v="14.888340377941107"/>
  </r>
  <r>
    <x v="4"/>
    <x v="3"/>
    <s v="BDI"/>
    <s v="Sub-Saharan Africa"/>
    <n v="224"/>
    <n v="76"/>
    <n v="0.76"/>
    <n v="7043154"/>
    <n v="3.180393329465748"/>
  </r>
  <r>
    <x v="4"/>
    <x v="4"/>
    <s v="BDI"/>
    <s v="Sub-Saharan Africa"/>
    <n v="2"/>
    <n v="78"/>
    <n v="0.78"/>
    <n v="7310656"/>
    <n v="2.7357326073063761E-2"/>
  </r>
  <r>
    <x v="4"/>
    <x v="5"/>
    <s v="BDI"/>
    <s v="Sub-Saharan Africa"/>
    <n v="0"/>
    <n v="87"/>
    <n v="0.87"/>
    <n v="7587299"/>
    <n v="0"/>
  </r>
  <r>
    <x v="4"/>
    <x v="6"/>
    <s v="BDI"/>
    <s v="Sub-Saharan Africa"/>
    <n v="784"/>
    <n v="92"/>
    <n v="0.92"/>
    <n v="7865547"/>
    <n v="9.967520377158765"/>
  </r>
  <r>
    <x v="4"/>
    <x v="7"/>
    <s v="BDI"/>
    <s v="Sub-Saharan Africa"/>
    <n v="43"/>
    <n v="88"/>
    <n v="0.88"/>
    <n v="8161874"/>
    <n v="0.52683979193993935"/>
  </r>
  <r>
    <x v="4"/>
    <x v="8"/>
    <s v="BDI"/>
    <s v="Sub-Saharan Africa"/>
    <n v="173"/>
    <n v="84"/>
    <n v="0.84"/>
    <n v="8505637"/>
    <n v="2.0339452530127962"/>
  </r>
  <r>
    <x v="4"/>
    <x v="9"/>
    <s v="BDI"/>
    <s v="Sub-Saharan Africa"/>
    <n v="305"/>
    <n v="91"/>
    <n v="0.91"/>
    <n v="8947646"/>
    <n v="3.4087177789554928"/>
  </r>
  <r>
    <x v="4"/>
    <x v="10"/>
    <s v="BDI"/>
    <s v="Sub-Saharan Africa"/>
    <n v="495"/>
    <n v="92"/>
    <n v="0.92"/>
    <n v="9376444"/>
    <n v="5.2791868644445596"/>
  </r>
  <r>
    <x v="4"/>
    <x v="11"/>
    <s v="BDI"/>
    <s v="Sub-Saharan Africa"/>
    <n v="129"/>
    <n v="93"/>
    <n v="0.93"/>
    <n v="9717978"/>
    <n v="1.3274366334231258"/>
  </r>
  <r>
    <x v="4"/>
    <x v="12"/>
    <s v="BDI"/>
    <s v="Sub-Saharan Africa"/>
    <n v="49"/>
    <n v="93"/>
    <n v="0.93"/>
    <n v="10071028"/>
    <n v="0.48654417404062422"/>
  </r>
  <r>
    <x v="4"/>
    <x v="13"/>
    <s v="BDI"/>
    <s v="Sub-Saharan Africa"/>
    <n v="0"/>
    <n v="98"/>
    <n v="0.98"/>
    <n v="10439341"/>
    <n v="0"/>
  </r>
  <r>
    <x v="4"/>
    <x v="14"/>
    <s v="BDI"/>
    <s v="Sub-Saharan Africa"/>
    <n v="0"/>
    <n v="94"/>
    <n v="0.94"/>
    <n v="10799785"/>
    <n v="0"/>
  </r>
  <r>
    <x v="4"/>
    <x v="15"/>
    <s v="BDI"/>
    <s v="Sub-Saharan Africa"/>
    <n v="9"/>
    <n v="93"/>
    <n v="0.93"/>
    <n v="11047580"/>
    <n v="8.1465805180863146E-2"/>
  </r>
  <r>
    <x v="4"/>
    <x v="16"/>
    <s v="BDI"/>
    <s v="Sub-Saharan Africa"/>
    <n v="16"/>
    <n v="93"/>
    <n v="0.93"/>
    <n v="11239451"/>
    <n v="0.14235570758749694"/>
  </r>
  <r>
    <x v="4"/>
    <x v="17"/>
    <s v="BDI"/>
    <s v="Sub-Saharan Africa"/>
    <n v="18"/>
    <n v="90"/>
    <n v="0.9"/>
    <n v="11506762"/>
    <n v="0.15642975843247647"/>
  </r>
  <r>
    <x v="4"/>
    <x v="18"/>
    <s v="BDI"/>
    <s v="Sub-Saharan Africa"/>
    <n v="9"/>
    <n v="88"/>
    <n v="0.88"/>
    <n v="11859446"/>
    <n v="7.5888873729852133E-2"/>
  </r>
  <r>
    <x v="4"/>
    <x v="19"/>
    <s v="BDI"/>
    <s v="Sub-Saharan Africa"/>
    <n v="112"/>
    <n v="92"/>
    <n v="0.92"/>
    <n v="12255336"/>
    <n v="0.91388763229339443"/>
  </r>
  <r>
    <x v="4"/>
    <x v="20"/>
    <s v="BDI"/>
    <s v="Sub-Saharan Africa"/>
    <n v="1700"/>
    <n v="90"/>
    <n v="0.9"/>
    <n v="12617036"/>
    <n v="13.473845996793543"/>
  </r>
  <r>
    <x v="4"/>
    <x v="21"/>
    <s v="BDI"/>
    <s v="Sub-Saharan Africa"/>
    <n v="369"/>
    <n v="90"/>
    <n v="0.9"/>
    <n v="12965481"/>
    <n v="2.8460185935253772"/>
  </r>
  <r>
    <x v="4"/>
    <x v="22"/>
    <s v="BDI"/>
    <s v="Sub-Saharan Africa"/>
    <n v="212"/>
    <n v="89"/>
    <n v="0.89"/>
    <n v="13321097"/>
    <n v="1.5914605231085697"/>
  </r>
  <r>
    <x v="4"/>
    <x v="23"/>
    <s v="BDI"/>
    <s v="Sub-Saharan Africa"/>
    <n v="1684"/>
    <n v="86"/>
    <n v="0.86"/>
    <n v="13689450"/>
    <n v="12.301443812570993"/>
  </r>
  <r>
    <x v="4"/>
    <x v="24"/>
    <s v="BDI"/>
    <s v="Sub-Saharan Africa"/>
    <n v="2741"/>
    <n v="86"/>
    <n v="0.86"/>
    <n v="14047786"/>
    <n v="19.511971495009963"/>
  </r>
  <r>
    <x v="5"/>
    <x v="0"/>
    <s v="CMR"/>
    <s v="Sub-Saharan Africa"/>
    <n v="14629"/>
    <n v="49"/>
    <n v="0.49"/>
    <n v="14912631"/>
    <n v="98.098048560311042"/>
  </r>
  <r>
    <x v="5"/>
    <x v="1"/>
    <s v="CMR"/>
    <s v="Sub-Saharan Africa"/>
    <n v="23934"/>
    <n v="51"/>
    <n v="0.51"/>
    <n v="15309490"/>
    <n v="156.33440434658502"/>
  </r>
  <r>
    <x v="5"/>
    <x v="2"/>
    <s v="CMR"/>
    <s v="Sub-Saharan Africa"/>
    <n v="1448"/>
    <n v="53"/>
    <n v="0.53"/>
    <n v="15725528"/>
    <n v="9.2079579140363368"/>
  </r>
  <r>
    <x v="5"/>
    <x v="3"/>
    <s v="CMR"/>
    <s v="Sub-Saharan Africa"/>
    <n v="899"/>
    <n v="61"/>
    <n v="0.61"/>
    <n v="16160340"/>
    <n v="5.5630017685271476"/>
  </r>
  <r>
    <x v="5"/>
    <x v="4"/>
    <s v="CMR"/>
    <s v="Sub-Saharan Africa"/>
    <n v="358"/>
    <n v="64"/>
    <n v="0.64"/>
    <n v="16610487"/>
    <n v="2.1552649239001842"/>
  </r>
  <r>
    <x v="5"/>
    <x v="5"/>
    <s v="CMR"/>
    <s v="Sub-Saharan Africa"/>
    <n v="605"/>
    <n v="68"/>
    <n v="0.68"/>
    <n v="17074594"/>
    <n v="3.5432760509561749"/>
  </r>
  <r>
    <x v="5"/>
    <x v="6"/>
    <s v="CMR"/>
    <s v="Sub-Saharan Africa"/>
    <n v="196"/>
    <n v="73"/>
    <n v="0.73"/>
    <n v="17550407"/>
    <n v="1.1167832176199675"/>
  </r>
  <r>
    <x v="5"/>
    <x v="7"/>
    <s v="CMR"/>
    <s v="Sub-Saharan Africa"/>
    <n v="100"/>
    <n v="74"/>
    <n v="0.74"/>
    <n v="18049896"/>
    <n v="0.55401981263493161"/>
  </r>
  <r>
    <x v="5"/>
    <x v="8"/>
    <s v="CMR"/>
    <s v="Sub-Saharan Africa"/>
    <n v="495"/>
    <n v="80"/>
    <n v="0.8"/>
    <n v="18574056"/>
    <n v="2.6650075783124594"/>
  </r>
  <r>
    <x v="5"/>
    <x v="9"/>
    <s v="CMR"/>
    <s v="Sub-Saharan Africa"/>
    <n v="251"/>
    <n v="74"/>
    <n v="0.74"/>
    <n v="19113974"/>
    <n v="1.3131753762979901"/>
  </r>
  <r>
    <x v="5"/>
    <x v="10"/>
    <s v="CMR"/>
    <s v="Sub-Saharan Africa"/>
    <n v="240"/>
    <n v="79"/>
    <n v="0.79"/>
    <n v="19668066"/>
    <n v="1.220252159007398"/>
  </r>
  <r>
    <x v="5"/>
    <x v="11"/>
    <s v="CMR"/>
    <s v="Sub-Saharan Africa"/>
    <n v="504"/>
    <n v="76"/>
    <n v="0.76"/>
    <n v="20232304"/>
    <n v="2.4910657728353627"/>
  </r>
  <r>
    <x v="5"/>
    <x v="12"/>
    <s v="CMR"/>
    <s v="Sub-Saharan Africa"/>
    <n v="609"/>
    <n v="74"/>
    <n v="0.74"/>
    <n v="20809529"/>
    <n v="2.9265438924638802"/>
  </r>
  <r>
    <x v="5"/>
    <x v="13"/>
    <s v="CMR"/>
    <s v="Sub-Saharan Africa"/>
    <n v="760"/>
    <n v="71"/>
    <n v="0.71"/>
    <n v="21402376"/>
    <n v="3.5510076077534567"/>
  </r>
  <r>
    <x v="5"/>
    <x v="14"/>
    <s v="CMR"/>
    <s v="Sub-Saharan Africa"/>
    <n v="831"/>
    <n v="71"/>
    <n v="0.71"/>
    <n v="22059893"/>
    <n v="3.7670173649527676"/>
  </r>
  <r>
    <x v="5"/>
    <x v="15"/>
    <s v="CMR"/>
    <s v="Sub-Saharan Africa"/>
    <n v="1809"/>
    <n v="71"/>
    <n v="0.71"/>
    <n v="22763414"/>
    <n v="7.9469626129015625"/>
  </r>
  <r>
    <x v="5"/>
    <x v="16"/>
    <s v="CMR"/>
    <s v="Sub-Saharan Africa"/>
    <n v="338"/>
    <n v="72"/>
    <n v="0.72"/>
    <n v="23454161"/>
    <n v="1.4411088932151528"/>
  </r>
  <r>
    <x v="5"/>
    <x v="17"/>
    <s v="CMR"/>
    <s v="Sub-Saharan Africa"/>
    <n v="712"/>
    <n v="67"/>
    <n v="0.67"/>
    <n v="24128601"/>
    <n v="2.9508548796509171"/>
  </r>
  <r>
    <x v="5"/>
    <x v="18"/>
    <s v="CMR"/>
    <s v="Sub-Saharan Africa"/>
    <n v="814"/>
    <n v="61"/>
    <n v="0.61"/>
    <n v="24806383"/>
    <n v="3.2814134974857079"/>
  </r>
  <r>
    <x v="5"/>
    <x v="19"/>
    <s v="CMR"/>
    <s v="Sub-Saharan Africa"/>
    <n v="2809"/>
    <n v="61"/>
    <n v="0.61"/>
    <n v="25506095"/>
    <n v="11.013053938676226"/>
  </r>
  <r>
    <x v="5"/>
    <x v="20"/>
    <s v="CMR"/>
    <s v="Sub-Saharan Africa"/>
    <n v="1509"/>
    <n v="63"/>
    <n v="0.63"/>
    <n v="26210558"/>
    <n v="5.7572219561292819"/>
  </r>
  <r>
    <x v="5"/>
    <x v="21"/>
    <s v="CMR"/>
    <s v="Sub-Saharan Africa"/>
    <n v="771"/>
    <n v="65"/>
    <n v="0.65"/>
    <n v="26915758"/>
    <n v="2.8644929858560921"/>
  </r>
  <r>
    <x v="5"/>
    <x v="22"/>
    <s v="CMR"/>
    <s v="Sub-Saharan Africa"/>
    <n v="3217"/>
    <n v="68"/>
    <n v="0.68"/>
    <n v="27632771"/>
    <n v="11.641973944632625"/>
  </r>
  <r>
    <x v="5"/>
    <x v="23"/>
    <s v="CMR"/>
    <s v="Sub-Saharan Africa"/>
    <n v="6105"/>
    <n v="71"/>
    <n v="0.71"/>
    <n v="28372687"/>
    <n v="21.517172483522621"/>
  </r>
  <r>
    <x v="5"/>
    <x v="24"/>
    <s v="CMR"/>
    <s v="Sub-Saharan Africa"/>
    <n v="863"/>
    <n v="71"/>
    <n v="0.71"/>
    <n v="29123744"/>
    <n v="2.9632179159382805"/>
  </r>
  <r>
    <x v="6"/>
    <x v="0"/>
    <s v="CAF"/>
    <s v="Sub-Saharan Africa"/>
    <n v="3207"/>
    <n v="36"/>
    <n v="0.36"/>
    <n v="3833416"/>
    <n v="83.659065439284433"/>
  </r>
  <r>
    <x v="6"/>
    <x v="1"/>
    <s v="CAF"/>
    <s v="Sub-Saharan Africa"/>
    <n v="2837"/>
    <n v="35"/>
    <n v="0.35"/>
    <n v="3919487"/>
    <n v="72.381921409613042"/>
  </r>
  <r>
    <x v="6"/>
    <x v="2"/>
    <s v="CAF"/>
    <s v="Sub-Saharan Africa"/>
    <n v="938"/>
    <n v="42"/>
    <n v="0.42"/>
    <n v="4006077"/>
    <n v="23.414427630821876"/>
  </r>
  <r>
    <x v="6"/>
    <x v="3"/>
    <s v="CAF"/>
    <s v="Sub-Saharan Africa"/>
    <n v="652"/>
    <n v="49"/>
    <n v="0.49"/>
    <n v="4103086"/>
    <n v="15.890478532499683"/>
  </r>
  <r>
    <x v="6"/>
    <x v="4"/>
    <s v="CAF"/>
    <s v="Sub-Saharan Africa"/>
    <n v="1233"/>
    <n v="55.000000000000007"/>
    <n v="0.55000000000000004"/>
    <n v="4192826"/>
    <n v="29.407373451700597"/>
  </r>
  <r>
    <x v="6"/>
    <x v="5"/>
    <s v="CAF"/>
    <s v="Sub-Saharan Africa"/>
    <n v="471"/>
    <n v="62"/>
    <n v="0.62"/>
    <n v="4288810"/>
    <n v="10.982067286729885"/>
  </r>
  <r>
    <x v="6"/>
    <x v="6"/>
    <s v="CAF"/>
    <s v="Sub-Saharan Africa"/>
    <n v="3"/>
    <n v="61"/>
    <n v="0.61"/>
    <n v="4377579"/>
    <n v="6.8531030507958848E-2"/>
  </r>
  <r>
    <x v="6"/>
    <x v="7"/>
    <s v="CAF"/>
    <s v="Sub-Saharan Africa"/>
    <n v="49"/>
    <n v="59"/>
    <n v="0.59"/>
    <n v="4462770"/>
    <n v="1.0979727837195286"/>
  </r>
  <r>
    <x v="6"/>
    <x v="8"/>
    <s v="CAF"/>
    <s v="Sub-Saharan Africa"/>
    <n v="12"/>
    <n v="57.999999999999993"/>
    <n v="0.57999999999999996"/>
    <n v="4558984"/>
    <n v="0.26321654122936161"/>
  </r>
  <r>
    <x v="6"/>
    <x v="9"/>
    <s v="CAF"/>
    <s v="Sub-Saharan Africa"/>
    <n v="11"/>
    <n v="56.000000000000007"/>
    <n v="0.56000000000000005"/>
    <n v="4529047"/>
    <n v="0.24287670231728661"/>
  </r>
  <r>
    <x v="6"/>
    <x v="10"/>
    <s v="CAF"/>
    <s v="Sub-Saharan Africa"/>
    <n v="2"/>
    <n v="53"/>
    <n v="0.53"/>
    <n v="4492995"/>
    <n v="4.451373749581293E-2"/>
  </r>
  <r>
    <x v="6"/>
    <x v="11"/>
    <s v="CAF"/>
    <s v="Sub-Saharan Africa"/>
    <n v="679"/>
    <n v="49"/>
    <n v="0.49"/>
    <n v="4565021"/>
    <n v="14.873973197494601"/>
  </r>
  <r>
    <x v="6"/>
    <x v="12"/>
    <s v="CAF"/>
    <s v="Sub-Saharan Africa"/>
    <n v="141"/>
    <n v="48"/>
    <n v="0.48"/>
    <n v="4610848"/>
    <n v="3.0580058158499259"/>
  </r>
  <r>
    <x v="6"/>
    <x v="13"/>
    <s v="CAF"/>
    <s v="Sub-Saharan Africa"/>
    <n v="596"/>
    <n v="25"/>
    <n v="0.25"/>
    <n v="4642419"/>
    <n v="12.838134601809962"/>
  </r>
  <r>
    <x v="6"/>
    <x v="14"/>
    <s v="CAF"/>
    <s v="Sub-Saharan Africa"/>
    <n v="210"/>
    <n v="47"/>
    <n v="0.47"/>
    <n v="4623182"/>
    <n v="4.5423260429721353"/>
  </r>
  <r>
    <x v="6"/>
    <x v="15"/>
    <s v="CAF"/>
    <s v="Sub-Saharan Africa"/>
    <n v="150"/>
    <n v="46"/>
    <n v="0.46"/>
    <n v="4629320"/>
    <n v="3.2402167056932765"/>
  </r>
  <r>
    <x v="6"/>
    <x v="16"/>
    <s v="CAF"/>
    <s v="Sub-Saharan Africa"/>
    <n v="367"/>
    <n v="45"/>
    <n v="0.45"/>
    <n v="4713663"/>
    <n v="7.7858769284100289"/>
  </r>
  <r>
    <x v="6"/>
    <x v="17"/>
    <s v="CAF"/>
    <s v="Sub-Saharan Africa"/>
    <n v="801"/>
    <n v="41"/>
    <n v="0.41"/>
    <n v="4793511"/>
    <n v="16.710089952855018"/>
  </r>
  <r>
    <x v="6"/>
    <x v="18"/>
    <s v="CAF"/>
    <s v="Sub-Saharan Africa"/>
    <n v="224"/>
    <n v="39"/>
    <n v="0.39"/>
    <n v="4878657"/>
    <n v="4.5914275178599357"/>
  </r>
  <r>
    <x v="6"/>
    <x v="19"/>
    <s v="CAF"/>
    <s v="Sub-Saharan Africa"/>
    <n v="3390"/>
    <n v="37"/>
    <n v="0.37"/>
    <n v="4944703"/>
    <n v="68.558212697506804"/>
  </r>
  <r>
    <x v="6"/>
    <x v="20"/>
    <s v="CAF"/>
    <s v="Sub-Saharan Africa"/>
    <n v="3433"/>
    <n v="36"/>
    <n v="0.36"/>
    <n v="5026628"/>
    <n v="68.296281324179944"/>
  </r>
  <r>
    <x v="6"/>
    <x v="21"/>
    <s v="CAF"/>
    <s v="Sub-Saharan Africa"/>
    <n v="286"/>
    <n v="34"/>
    <n v="0.34"/>
    <n v="5112100"/>
    <n v="5.5945697462882178"/>
  </r>
  <r>
    <x v="6"/>
    <x v="22"/>
    <s v="CAF"/>
    <s v="Sub-Saharan Africa"/>
    <n v="155"/>
    <n v="32"/>
    <n v="0.32"/>
    <n v="5098039"/>
    <n v="3.0403847440162775"/>
  </r>
  <r>
    <x v="6"/>
    <x v="23"/>
    <s v="CAF"/>
    <s v="Sub-Saharan Africa"/>
    <n v="3841"/>
    <n v="39"/>
    <n v="0.39"/>
    <n v="5152421"/>
    <n v="74.547479718757458"/>
  </r>
  <r>
    <x v="6"/>
    <x v="24"/>
    <s v="CAF"/>
    <s v="Sub-Saharan Africa"/>
    <n v="125"/>
    <n v="41"/>
    <n v="0.41"/>
    <n v="5330690"/>
    <n v="2.3449121971076914"/>
  </r>
  <r>
    <x v="7"/>
    <x v="0"/>
    <s v="COM"/>
    <s v="Sub-Saharan Africa"/>
    <m/>
    <n v="70"/>
    <n v="0.7"/>
    <n v="536080"/>
    <m/>
  </r>
  <r>
    <x v="7"/>
    <x v="1"/>
    <s v="COM"/>
    <s v="Sub-Saharan Africa"/>
    <m/>
    <n v="70"/>
    <n v="0.7"/>
    <n v="547220"/>
    <m/>
  </r>
  <r>
    <x v="7"/>
    <x v="2"/>
    <s v="COM"/>
    <s v="Sub-Saharan Africa"/>
    <n v="0"/>
    <n v="71"/>
    <n v="0.71"/>
    <n v="558923"/>
    <n v="0"/>
  </r>
  <r>
    <x v="7"/>
    <x v="3"/>
    <s v="COM"/>
    <s v="Sub-Saharan Africa"/>
    <n v="0"/>
    <n v="67"/>
    <n v="0.67"/>
    <n v="569798"/>
    <n v="0"/>
  </r>
  <r>
    <x v="7"/>
    <x v="4"/>
    <s v="COM"/>
    <s v="Sub-Saharan Africa"/>
    <n v="0"/>
    <n v="76"/>
    <n v="0.76"/>
    <n v="580704"/>
    <n v="0"/>
  </r>
  <r>
    <x v="7"/>
    <x v="5"/>
    <s v="COM"/>
    <s v="Sub-Saharan Africa"/>
    <n v="912"/>
    <n v="67"/>
    <n v="0.67"/>
    <n v="592677"/>
    <n v="153.87808199069647"/>
  </r>
  <r>
    <x v="7"/>
    <x v="6"/>
    <s v="COM"/>
    <s v="Sub-Saharan Africa"/>
    <n v="85"/>
    <n v="66"/>
    <n v="0.66"/>
    <n v="604753"/>
    <n v="14.055325066597439"/>
  </r>
  <r>
    <x v="7"/>
    <x v="7"/>
    <s v="COM"/>
    <s v="Sub-Saharan Africa"/>
    <n v="0"/>
    <n v="65"/>
    <n v="0.65"/>
    <n v="616927"/>
    <n v="0"/>
  </r>
  <r>
    <x v="7"/>
    <x v="8"/>
    <s v="COM"/>
    <s v="Sub-Saharan Africa"/>
    <n v="0"/>
    <n v="76"/>
    <n v="0.76"/>
    <n v="629307"/>
    <n v="0"/>
  </r>
  <r>
    <x v="7"/>
    <x v="9"/>
    <s v="COM"/>
    <s v="Sub-Saharan Africa"/>
    <n v="1"/>
    <n v="79"/>
    <n v="0.79"/>
    <n v="641947"/>
    <n v="0.15577609989609734"/>
  </r>
  <r>
    <x v="7"/>
    <x v="10"/>
    <s v="COM"/>
    <s v="Sub-Saharan Africa"/>
    <n v="0"/>
    <n v="72"/>
    <n v="0.72"/>
    <n v="654836"/>
    <n v="0"/>
  </r>
  <r>
    <x v="7"/>
    <x v="11"/>
    <s v="COM"/>
    <s v="Sub-Saharan Africa"/>
    <n v="3"/>
    <n v="79"/>
    <n v="0.79"/>
    <n v="668056"/>
    <n v="0.44906415031075242"/>
  </r>
  <r>
    <x v="7"/>
    <x v="12"/>
    <s v="COM"/>
    <s v="Sub-Saharan Africa"/>
    <n v="1"/>
    <n v="85"/>
    <n v="0.85"/>
    <n v="681630"/>
    <n v="0.14670715784223112"/>
  </r>
  <r>
    <x v="7"/>
    <x v="13"/>
    <s v="COM"/>
    <s v="Sub-Saharan Africa"/>
    <n v="0"/>
    <n v="82"/>
    <n v="0.82"/>
    <n v="696192"/>
    <n v="0"/>
  </r>
  <r>
    <x v="7"/>
    <x v="14"/>
    <s v="COM"/>
    <s v="Sub-Saharan Africa"/>
    <n v="0"/>
    <n v="80"/>
    <n v="0.8"/>
    <n v="711503"/>
    <n v="0"/>
  </r>
  <r>
    <x v="8"/>
    <x v="0"/>
    <s v="COG"/>
    <s v="Sub-Saharan Africa"/>
    <n v="1678"/>
    <n v="34"/>
    <n v="0.34"/>
    <n v="3151345"/>
    <n v="53.247105600941822"/>
  </r>
  <r>
    <x v="8"/>
    <x v="1"/>
    <s v="COG"/>
    <s v="Sub-Saharan Africa"/>
    <n v="2152"/>
    <n v="35"/>
    <n v="0.35"/>
    <n v="3272537"/>
    <n v="65.759378732769108"/>
  </r>
  <r>
    <x v="8"/>
    <x v="2"/>
    <s v="COG"/>
    <s v="Sub-Saharan Africa"/>
    <n v="2788"/>
    <n v="37"/>
    <n v="0.37"/>
    <n v="3350771"/>
    <n v="83.204731090247591"/>
  </r>
  <r>
    <x v="8"/>
    <x v="3"/>
    <s v="COG"/>
    <s v="Sub-Saharan Africa"/>
    <n v="3712"/>
    <n v="50"/>
    <n v="0.5"/>
    <n v="3445753"/>
    <n v="107.72681617051484"/>
  </r>
  <r>
    <x v="8"/>
    <x v="4"/>
    <s v="COG"/>
    <s v="Sub-Saharan Africa"/>
    <n v="3524"/>
    <n v="65"/>
    <n v="0.65"/>
    <n v="3565554"/>
    <n v="98.83457100916155"/>
  </r>
  <r>
    <x v="8"/>
    <x v="5"/>
    <s v="COG"/>
    <s v="Sub-Saharan Africa"/>
    <n v="146"/>
    <n v="54"/>
    <n v="0.54"/>
    <n v="3696393"/>
    <n v="3.9497964637418153"/>
  </r>
  <r>
    <x v="8"/>
    <x v="6"/>
    <s v="COG"/>
    <s v="Sub-Saharan Africa"/>
    <n v="126"/>
    <n v="61"/>
    <n v="0.61"/>
    <n v="3837409"/>
    <n v="3.2834654841326536"/>
  </r>
  <r>
    <x v="8"/>
    <x v="7"/>
    <s v="COG"/>
    <s v="Sub-Saharan Africa"/>
    <n v="84"/>
    <n v="59"/>
    <n v="0.59"/>
    <n v="3980430"/>
    <n v="2.1103247639074172"/>
  </r>
  <r>
    <x v="8"/>
    <x v="8"/>
    <s v="COG"/>
    <s v="Sub-Saharan Africa"/>
    <n v="2"/>
    <n v="69"/>
    <n v="0.69"/>
    <n v="4113517"/>
    <n v="4.8620195321910663E-2"/>
  </r>
  <r>
    <x v="8"/>
    <x v="9"/>
    <s v="COG"/>
    <s v="Sub-Saharan Africa"/>
    <n v="1"/>
    <n v="63"/>
    <n v="0.63"/>
    <n v="4281219"/>
    <n v="2.3357833364749621E-2"/>
  </r>
  <r>
    <x v="8"/>
    <x v="10"/>
    <s v="COG"/>
    <s v="Sub-Saharan Africa"/>
    <n v="4"/>
    <n v="75"/>
    <n v="0.75"/>
    <n v="4462290"/>
    <n v="8.9640072698098955E-2"/>
  </r>
  <r>
    <x v="8"/>
    <x v="11"/>
    <s v="COG"/>
    <s v="Sub-Saharan Africa"/>
    <n v="315"/>
    <n v="83"/>
    <n v="0.83"/>
    <n v="4609724"/>
    <n v="6.8333809139115491"/>
  </r>
  <r>
    <x v="8"/>
    <x v="12"/>
    <s v="COG"/>
    <s v="Sub-Saharan Africa"/>
    <n v="260"/>
    <n v="80"/>
    <n v="0.8"/>
    <n v="4740450"/>
    <n v="5.4847113670643077"/>
  </r>
  <r>
    <x v="8"/>
    <x v="13"/>
    <s v="COG"/>
    <s v="Sub-Saharan Africa"/>
    <n v="124"/>
    <n v="80"/>
    <n v="0.8"/>
    <n v="4857099"/>
    <n v="2.5529642282358256"/>
  </r>
  <r>
    <x v="8"/>
    <x v="14"/>
    <s v="COG"/>
    <s v="Sub-Saharan Africa"/>
    <n v="71"/>
    <n v="80"/>
    <n v="0.8"/>
    <n v="4975880"/>
    <n v="1.4268832849666793"/>
  </r>
  <r>
    <x v="8"/>
    <x v="15"/>
    <s v="COG"/>
    <s v="Sub-Saharan Africa"/>
    <n v="1359"/>
    <n v="80"/>
    <n v="0.8"/>
    <n v="5097581"/>
    <n v="26.659703887000518"/>
  </r>
  <r>
    <x v="8"/>
    <x v="16"/>
    <s v="COG"/>
    <s v="Sub-Saharan Africa"/>
    <n v="277"/>
    <n v="67"/>
    <n v="0.67"/>
    <n v="5222536"/>
    <n v="5.3039366315521805"/>
  </r>
  <r>
    <x v="8"/>
    <x v="17"/>
    <s v="COG"/>
    <s v="Sub-Saharan Africa"/>
    <n v="958"/>
    <n v="70"/>
    <n v="0.7"/>
    <n v="5351011"/>
    <n v="17.903158861007761"/>
  </r>
  <r>
    <x v="8"/>
    <x v="18"/>
    <s v="COG"/>
    <s v="Sub-Saharan Africa"/>
    <n v="28"/>
    <n v="75"/>
    <n v="0.75"/>
    <n v="5483118"/>
    <n v="0.51065835168967733"/>
  </r>
  <r>
    <x v="8"/>
    <x v="19"/>
    <s v="COG"/>
    <s v="Sub-Saharan Africa"/>
    <n v="66"/>
    <n v="73"/>
    <n v="0.73"/>
    <n v="5616661"/>
    <n v="1.1750753695122422"/>
  </r>
  <r>
    <x v="8"/>
    <x v="20"/>
    <s v="COG"/>
    <s v="Sub-Saharan Africa"/>
    <n v="37"/>
    <n v="68"/>
    <n v="0.68"/>
    <n v="5752791"/>
    <n v="0.64316607365016387"/>
  </r>
  <r>
    <x v="8"/>
    <x v="21"/>
    <s v="COG"/>
    <s v="Sub-Saharan Africa"/>
    <n v="160"/>
    <n v="68"/>
    <n v="0.68"/>
    <n v="5892183"/>
    <n v="2.7154621640230796"/>
  </r>
  <r>
    <x v="8"/>
    <x v="22"/>
    <s v="COG"/>
    <s v="Sub-Saharan Africa"/>
    <n v="6718"/>
    <n v="65"/>
    <n v="0.65"/>
    <n v="6035104"/>
    <n v="111.3153973817187"/>
  </r>
  <r>
    <x v="8"/>
    <x v="23"/>
    <s v="COG"/>
    <s v="Sub-Saharan Africa"/>
    <n v="385"/>
    <n v="65"/>
    <n v="0.65"/>
    <n v="6182885"/>
    <n v="6.2268665841269888"/>
  </r>
  <r>
    <x v="8"/>
    <x v="24"/>
    <s v="COG"/>
    <s v="Sub-Saharan Africa"/>
    <n v="483"/>
    <n v="72"/>
    <n v="0.72"/>
    <n v="6332961"/>
    <n v="7.6267641629247365"/>
  </r>
  <r>
    <x v="9"/>
    <x v="0"/>
    <s v="CIV"/>
    <s v="Sub-Saharan Africa"/>
    <n v="5729"/>
    <n v="68"/>
    <n v="0.68"/>
    <n v="17699004"/>
    <n v="32.369053083439049"/>
  </r>
  <r>
    <x v="9"/>
    <x v="1"/>
    <s v="CIV"/>
    <s v="Sub-Saharan Africa"/>
    <n v="5790"/>
    <n v="71"/>
    <n v="0.71"/>
    <n v="18178913"/>
    <n v="31.850089166497469"/>
  </r>
  <r>
    <x v="9"/>
    <x v="2"/>
    <s v="CIV"/>
    <s v="Sub-Saharan Africa"/>
    <n v="5882"/>
    <n v="71"/>
    <n v="0.71"/>
    <n v="18654771"/>
    <n v="31.530807856070709"/>
  </r>
  <r>
    <x v="9"/>
    <x v="3"/>
    <s v="CIV"/>
    <s v="Sub-Saharan Africa"/>
    <n v="4770"/>
    <n v="70"/>
    <n v="0.7"/>
    <n v="19125542"/>
    <n v="24.940469660938238"/>
  </r>
  <r>
    <x v="9"/>
    <x v="4"/>
    <s v="CIV"/>
    <s v="Sub-Saharan Africa"/>
    <n v="3466"/>
    <n v="78"/>
    <n v="0.78"/>
    <n v="19595000"/>
    <n v="17.688185761673896"/>
  </r>
  <r>
    <x v="9"/>
    <x v="5"/>
    <s v="CIV"/>
    <s v="Sub-Saharan Africa"/>
    <n v="115"/>
    <n v="84"/>
    <n v="0.84"/>
    <n v="20068458"/>
    <n v="0.57303854635966545"/>
  </r>
  <r>
    <x v="9"/>
    <x v="6"/>
    <s v="CIV"/>
    <s v="Sub-Saharan Africa"/>
    <n v="11"/>
    <n v="73"/>
    <n v="0.73"/>
    <n v="20546802"/>
    <n v="5.3536311879581071E-2"/>
  </r>
  <r>
    <x v="9"/>
    <x v="7"/>
    <s v="CIV"/>
    <s v="Sub-Saharan Africa"/>
    <n v="5"/>
    <n v="67"/>
    <n v="0.67"/>
    <n v="21030558"/>
    <n v="2.3774927893021193E-2"/>
  </r>
  <r>
    <x v="9"/>
    <x v="8"/>
    <s v="CIV"/>
    <s v="Sub-Saharan Africa"/>
    <n v="12"/>
    <n v="63"/>
    <n v="0.63"/>
    <n v="21514439"/>
    <n v="5.5776495032010827E-2"/>
  </r>
  <r>
    <x v="9"/>
    <x v="9"/>
    <s v="CIV"/>
    <s v="Sub-Saharan Africa"/>
    <n v="183"/>
    <n v="67"/>
    <n v="0.67"/>
    <n v="21997940"/>
    <n v="0.83189607754180617"/>
  </r>
  <r>
    <x v="9"/>
    <x v="10"/>
    <s v="CIV"/>
    <s v="Sub-Saharan Africa"/>
    <n v="441"/>
    <n v="64"/>
    <n v="0.64"/>
    <n v="22488065"/>
    <n v="1.9610402228915649"/>
  </r>
  <r>
    <x v="9"/>
    <x v="11"/>
    <s v="CIV"/>
    <s v="Sub-Saharan Africa"/>
    <n v="628"/>
    <n v="49"/>
    <n v="0.49"/>
    <n v="22982000"/>
    <n v="2.7325733182490644"/>
  </r>
  <r>
    <x v="9"/>
    <x v="12"/>
    <s v="CIV"/>
    <s v="Sub-Saharan Africa"/>
    <n v="137"/>
    <n v="74"/>
    <n v="0.74"/>
    <n v="23467078"/>
    <n v="0.58379658515644772"/>
  </r>
  <r>
    <x v="9"/>
    <x v="13"/>
    <s v="CIV"/>
    <s v="Sub-Saharan Africa"/>
    <n v="48"/>
    <n v="70"/>
    <n v="0.7"/>
    <n v="23939775"/>
    <n v="0.20050313756081664"/>
  </r>
  <r>
    <x v="9"/>
    <x v="14"/>
    <s v="CIV"/>
    <s v="Sub-Saharan Africa"/>
    <n v="50"/>
    <n v="59"/>
    <n v="0.59"/>
    <n v="24527395"/>
    <n v="0.20385369094435019"/>
  </r>
  <r>
    <x v="9"/>
    <x v="15"/>
    <s v="CIV"/>
    <s v="Sub-Saharan Africa"/>
    <n v="65"/>
    <n v="67"/>
    <n v="0.67"/>
    <n v="25246342"/>
    <n v="0.25746304157647865"/>
  </r>
  <r>
    <x v="9"/>
    <x v="16"/>
    <s v="CIV"/>
    <s v="Sub-Saharan Africa"/>
    <n v="45"/>
    <n v="73"/>
    <n v="0.73"/>
    <n v="25989405"/>
    <n v="0.17314748067529825"/>
  </r>
  <r>
    <x v="9"/>
    <x v="17"/>
    <s v="CIV"/>
    <s v="Sub-Saharan Africa"/>
    <n v="163"/>
    <n v="70"/>
    <n v="0.7"/>
    <n v="26733372"/>
    <n v="0.60972480388931105"/>
  </r>
  <r>
    <x v="9"/>
    <x v="18"/>
    <s v="CIV"/>
    <s v="Sub-Saharan Africa"/>
    <n v="453"/>
    <n v="74"/>
    <n v="0.74"/>
    <n v="27464173"/>
    <n v="1.6494215937250321"/>
  </r>
  <r>
    <x v="9"/>
    <x v="19"/>
    <s v="CIV"/>
    <s v="Sub-Saharan Africa"/>
    <n v="372"/>
    <n v="71"/>
    <n v="0.71"/>
    <n v="28193009"/>
    <n v="1.3194760445754479"/>
  </r>
  <r>
    <x v="9"/>
    <x v="20"/>
    <s v="CIV"/>
    <s v="Sub-Saharan Africa"/>
    <n v="600"/>
    <n v="63"/>
    <n v="0.63"/>
    <n v="28915449"/>
    <n v="2.0750153317695328"/>
  </r>
  <r>
    <x v="9"/>
    <x v="21"/>
    <s v="CIV"/>
    <s v="Sub-Saharan Africa"/>
    <n v="1837"/>
    <n v="65"/>
    <n v="0.65"/>
    <n v="29639736"/>
    <n v="6.1977610056985659"/>
  </r>
  <r>
    <x v="9"/>
    <x v="22"/>
    <s v="CIV"/>
    <s v="Sub-Saharan Africa"/>
    <n v="1596"/>
    <n v="62"/>
    <n v="0.62"/>
    <n v="30395002"/>
    <n v="5.2508632833779707"/>
  </r>
  <r>
    <x v="9"/>
    <x v="23"/>
    <s v="CIV"/>
    <s v="Sub-Saharan Africa"/>
    <n v="1361"/>
    <n v="70"/>
    <n v="0.7"/>
    <n v="31165654"/>
    <n v="4.3669868118281743"/>
  </r>
  <r>
    <x v="9"/>
    <x v="24"/>
    <s v="CIV"/>
    <s v="Sub-Saharan Africa"/>
    <n v="1872"/>
    <n v="75"/>
    <n v="0.75"/>
    <n v="31934230"/>
    <n v="5.8620483412313371"/>
  </r>
  <r>
    <x v="10"/>
    <x v="0"/>
    <s v="COD"/>
    <s v="Sub-Saharan Africa"/>
    <n v="8282"/>
    <n v="26"/>
    <n v="0.26"/>
    <n v="50507442"/>
    <n v="16.397583548182858"/>
  </r>
  <r>
    <x v="10"/>
    <x v="1"/>
    <s v="COD"/>
    <s v="Sub-Saharan Africa"/>
    <n v="8072"/>
    <n v="34"/>
    <n v="0.34"/>
    <n v="52132646"/>
    <n v="15.483580096816878"/>
  </r>
  <r>
    <x v="10"/>
    <x v="2"/>
    <s v="COD"/>
    <s v="Sub-Saharan Africa"/>
    <n v="30466"/>
    <n v="41"/>
    <n v="0.41"/>
    <n v="53750524"/>
    <n v="56.680377664783322"/>
  </r>
  <r>
    <x v="10"/>
    <x v="3"/>
    <s v="COD"/>
    <s v="Sub-Saharan Africa"/>
    <n v="21956"/>
    <n v="48"/>
    <n v="0.48"/>
    <n v="55343867"/>
    <n v="39.671965820530758"/>
  </r>
  <r>
    <x v="10"/>
    <x v="4"/>
    <s v="COD"/>
    <s v="Sub-Saharan Africa"/>
    <n v="44934"/>
    <n v="56.999999999999993"/>
    <n v="0.56999999999999995"/>
    <n v="56997741"/>
    <n v="78.834703291135696"/>
  </r>
  <r>
    <x v="10"/>
    <x v="5"/>
    <s v="COD"/>
    <s v="Sub-Saharan Africa"/>
    <n v="182485"/>
    <n v="61"/>
    <n v="0.61"/>
    <n v="58775724"/>
    <n v="310.47682202944873"/>
  </r>
  <r>
    <x v="10"/>
    <x v="6"/>
    <s v="COD"/>
    <s v="Sub-Saharan Africa"/>
    <n v="80123"/>
    <n v="63"/>
    <n v="0.63"/>
    <n v="60615908"/>
    <n v="132.18147288992188"/>
  </r>
  <r>
    <x v="10"/>
    <x v="7"/>
    <s v="COD"/>
    <s v="Sub-Saharan Africa"/>
    <n v="55577"/>
    <n v="64"/>
    <n v="0.64"/>
    <n v="62477752"/>
    <n v="88.954865085414724"/>
  </r>
  <r>
    <x v="10"/>
    <x v="8"/>
    <s v="COD"/>
    <s v="Sub-Saharan Africa"/>
    <n v="12461"/>
    <n v="64"/>
    <n v="0.64"/>
    <n v="64390664"/>
    <n v="19.352184347718481"/>
  </r>
  <r>
    <x v="10"/>
    <x v="9"/>
    <s v="COD"/>
    <s v="Sub-Saharan Africa"/>
    <n v="57"/>
    <n v="65"/>
    <n v="0.65"/>
    <n v="66412044"/>
    <n v="8.5827805570929269E-2"/>
  </r>
  <r>
    <x v="10"/>
    <x v="10"/>
    <s v="COD"/>
    <s v="Sub-Saharan Africa"/>
    <n v="5407"/>
    <n v="66"/>
    <n v="0.66"/>
    <n v="68563038"/>
    <n v="7.8861733052143936"/>
  </r>
  <r>
    <x v="10"/>
    <x v="11"/>
    <s v="COD"/>
    <s v="Sub-Saharan Africa"/>
    <n v="133802"/>
    <n v="66"/>
    <n v="0.66"/>
    <n v="70849311"/>
    <n v="188.8543418580316"/>
  </r>
  <r>
    <x v="10"/>
    <x v="12"/>
    <s v="COD"/>
    <s v="Sub-Saharan Africa"/>
    <n v="72029"/>
    <n v="69"/>
    <n v="0.69"/>
    <n v="73254618"/>
    <n v="98.326906844289326"/>
  </r>
  <r>
    <x v="10"/>
    <x v="13"/>
    <s v="COD"/>
    <s v="Sub-Saharan Africa"/>
    <n v="88381"/>
    <n v="68"/>
    <n v="0.68"/>
    <n v="75789395"/>
    <n v="116.61394051238963"/>
  </r>
  <r>
    <x v="10"/>
    <x v="14"/>
    <s v="COD"/>
    <s v="Sub-Saharan Africa"/>
    <n v="33711"/>
    <n v="69"/>
    <n v="0.69"/>
    <n v="78403242"/>
    <n v="42.996946478310171"/>
  </r>
  <r>
    <x v="10"/>
    <x v="15"/>
    <s v="COD"/>
    <s v="Sub-Saharan Africa"/>
    <n v="5020"/>
    <n v="65"/>
    <n v="0.65"/>
    <n v="81035531"/>
    <n v="6.1948134824957215"/>
  </r>
  <r>
    <x v="10"/>
    <x v="16"/>
    <s v="COD"/>
    <s v="Sub-Saharan Africa"/>
    <n v="5092"/>
    <n v="63"/>
    <n v="0.63"/>
    <n v="83956415"/>
    <n v="6.0650517295194177"/>
  </r>
  <r>
    <x v="10"/>
    <x v="17"/>
    <s v="COD"/>
    <s v="Sub-Saharan Africa"/>
    <n v="45107"/>
    <n v="65"/>
    <n v="0.65"/>
    <n v="87083398"/>
    <n v="51.79747349776131"/>
  </r>
  <r>
    <x v="10"/>
    <x v="18"/>
    <s v="COD"/>
    <s v="Sub-Saharan Africa"/>
    <n v="69693"/>
    <n v="64"/>
    <n v="0.64"/>
    <n v="90047644"/>
    <n v="77.395695105582107"/>
  </r>
  <r>
    <x v="10"/>
    <x v="19"/>
    <s v="COD"/>
    <s v="Sub-Saharan Africa"/>
    <n v="333017"/>
    <n v="65"/>
    <n v="0.65"/>
    <n v="92947442"/>
    <n v="358.28527696329718"/>
  </r>
  <r>
    <x v="10"/>
    <x v="20"/>
    <s v="COD"/>
    <s v="Sub-Saharan Africa"/>
    <n v="82290"/>
    <n v="62"/>
    <n v="0.62"/>
    <n v="95989998"/>
    <n v="85.727681752842628"/>
  </r>
  <r>
    <x v="10"/>
    <x v="21"/>
    <s v="COD"/>
    <s v="Sub-Saharan Africa"/>
    <n v="54471"/>
    <n v="55.000000000000007"/>
    <n v="0.55000000000000004"/>
    <n v="99148932"/>
    <n v="54.9385645424804"/>
  </r>
  <r>
    <x v="10"/>
    <x v="22"/>
    <s v="COD"/>
    <s v="Sub-Saharan Africa"/>
    <n v="4380"/>
    <n v="56.000000000000007"/>
    <n v="0.56000000000000005"/>
    <n v="102396968"/>
    <n v="4.2774704032252204"/>
  </r>
  <r>
    <x v="10"/>
    <x v="23"/>
    <s v="COD"/>
    <s v="Sub-Saharan Africa"/>
    <n v="311500"/>
    <n v="52"/>
    <n v="0.52"/>
    <n v="105789731"/>
    <n v="294.45202011147944"/>
  </r>
  <r>
    <x v="10"/>
    <x v="24"/>
    <s v="COD"/>
    <s v="Sub-Saharan Africa"/>
    <n v="109419"/>
    <n v="55.000000000000007"/>
    <n v="0.55000000000000004"/>
    <n v="109276265"/>
    <n v="100.13061848334587"/>
  </r>
  <r>
    <x v="7"/>
    <x v="15"/>
    <s v="COM"/>
    <s v="Sub-Saharan Africa"/>
    <n v="0"/>
    <n v="81"/>
    <n v="0.81"/>
    <n v="726682"/>
    <n v="0"/>
  </r>
  <r>
    <x v="7"/>
    <x v="16"/>
    <s v="COM"/>
    <s v="Sub-Saharan Africa"/>
    <n v="0"/>
    <n v="77"/>
    <n v="0.77"/>
    <n v="741741"/>
    <n v="0"/>
  </r>
  <r>
    <x v="7"/>
    <x v="17"/>
    <s v="COM"/>
    <s v="Sub-Saharan Africa"/>
    <n v="0"/>
    <n v="75"/>
    <n v="0.75"/>
    <n v="756669"/>
    <n v="0"/>
  </r>
  <r>
    <x v="7"/>
    <x v="18"/>
    <s v="COM"/>
    <s v="Sub-Saharan Africa"/>
    <n v="0"/>
    <n v="74"/>
    <n v="0.74"/>
    <n v="771590"/>
    <n v="0"/>
  </r>
  <r>
    <x v="7"/>
    <x v="19"/>
    <s v="COM"/>
    <s v="Sub-Saharan Africa"/>
    <n v="65"/>
    <n v="76"/>
    <n v="0.76"/>
    <n v="786578"/>
    <n v="8.2636432750471016"/>
  </r>
  <r>
    <x v="7"/>
    <x v="20"/>
    <s v="COM"/>
    <s v="Sub-Saharan Africa"/>
    <n v="0"/>
    <n v="75"/>
    <n v="0.75"/>
    <n v="802163"/>
    <n v="0"/>
  </r>
  <r>
    <x v="7"/>
    <x v="21"/>
    <s v="COM"/>
    <s v="Sub-Saharan Africa"/>
    <n v="0"/>
    <n v="68"/>
    <n v="0.68"/>
    <n v="818174"/>
    <n v="0"/>
  </r>
  <r>
    <x v="7"/>
    <x v="22"/>
    <s v="COM"/>
    <s v="Sub-Saharan Africa"/>
    <n v="4"/>
    <n v="71"/>
    <n v="0.71"/>
    <n v="834188"/>
    <n v="0.47950821637328755"/>
  </r>
  <r>
    <x v="7"/>
    <x v="23"/>
    <s v="COM"/>
    <s v="Sub-Saharan Africa"/>
    <n v="51"/>
    <n v="70"/>
    <n v="0.7"/>
    <n v="850387"/>
    <n v="5.9972694784845011"/>
  </r>
  <r>
    <x v="7"/>
    <x v="24"/>
    <s v="COM"/>
    <s v="Sub-Saharan Africa"/>
    <n v="17"/>
    <n v="70"/>
    <n v="0.7"/>
    <n v="866628"/>
    <n v="1.9616259802360414"/>
  </r>
  <r>
    <x v="11"/>
    <x v="0"/>
    <s v="CPV"/>
    <s v="Sub-Saharan Africa"/>
    <n v="2"/>
    <n v="86"/>
    <n v="0.86"/>
    <n v="453317"/>
    <n v="0.44119236648967497"/>
  </r>
  <r>
    <x v="11"/>
    <x v="1"/>
    <s v="CPV"/>
    <s v="Sub-Saharan Africa"/>
    <n v="0"/>
    <n v="88"/>
    <n v="0.88"/>
    <n v="460293"/>
    <n v="0"/>
  </r>
  <r>
    <x v="11"/>
    <x v="2"/>
    <s v="CPV"/>
    <s v="Sub-Saharan Africa"/>
    <n v="0"/>
    <n v="89"/>
    <n v="0.89"/>
    <n v="467046"/>
    <n v="0"/>
  </r>
  <r>
    <x v="11"/>
    <x v="3"/>
    <s v="CPV"/>
    <s v="Sub-Saharan Africa"/>
    <n v="0"/>
    <n v="90"/>
    <n v="0.9"/>
    <n v="473383"/>
    <n v="0"/>
  </r>
  <r>
    <x v="11"/>
    <x v="4"/>
    <s v="CPV"/>
    <s v="Sub-Saharan Africa"/>
    <n v="0"/>
    <n v="91"/>
    <n v="0.91"/>
    <n v="479370"/>
    <n v="0"/>
  </r>
  <r>
    <x v="11"/>
    <x v="5"/>
    <s v="CPV"/>
    <s v="Sub-Saharan Africa"/>
    <n v="0"/>
    <n v="93"/>
    <n v="0.93"/>
    <n v="485115"/>
    <n v="0"/>
  </r>
  <r>
    <x v="11"/>
    <x v="6"/>
    <s v="CPV"/>
    <s v="Sub-Saharan Africa"/>
    <n v="0"/>
    <n v="94"/>
    <n v="0.94"/>
    <n v="490728"/>
    <n v="0"/>
  </r>
  <r>
    <x v="11"/>
    <x v="7"/>
    <s v="CPV"/>
    <s v="Sub-Saharan Africa"/>
    <n v="0"/>
    <n v="96"/>
    <n v="0.96"/>
    <n v="496190"/>
    <n v="0"/>
  </r>
  <r>
    <x v="11"/>
    <x v="8"/>
    <s v="CPV"/>
    <s v="Sub-Saharan Africa"/>
    <n v="0"/>
    <n v="97"/>
    <n v="0.97"/>
    <n v="501355"/>
    <n v="0"/>
  </r>
  <r>
    <x v="11"/>
    <x v="9"/>
    <s v="CPV"/>
    <s v="Sub-Saharan Africa"/>
    <n v="0"/>
    <n v="97"/>
    <n v="0.97"/>
    <n v="506141"/>
    <n v="0"/>
  </r>
  <r>
    <x v="11"/>
    <x v="10"/>
    <s v="CPV"/>
    <s v="Sub-Saharan Africa"/>
    <n v="0"/>
    <n v="97"/>
    <n v="0.97"/>
    <n v="509784"/>
    <n v="0"/>
  </r>
  <r>
    <x v="11"/>
    <x v="11"/>
    <s v="CPV"/>
    <s v="Sub-Saharan Africa"/>
    <n v="0"/>
    <n v="96"/>
    <n v="0.96"/>
    <n v="511447"/>
    <n v="0"/>
  </r>
  <r>
    <x v="11"/>
    <x v="12"/>
    <s v="CPV"/>
    <s v="Sub-Saharan Africa"/>
    <n v="0"/>
    <n v="91"/>
    <n v="0.91"/>
    <n v="511955"/>
    <n v="0"/>
  </r>
  <r>
    <x v="11"/>
    <x v="13"/>
    <s v="CPV"/>
    <s v="Sub-Saharan Africa"/>
    <n v="0"/>
    <n v="91"/>
    <n v="0.91"/>
    <n v="512225"/>
    <n v="0"/>
  </r>
  <r>
    <x v="11"/>
    <x v="14"/>
    <s v="CPV"/>
    <s v="Sub-Saharan Africa"/>
    <n v="0"/>
    <n v="93"/>
    <n v="0.93"/>
    <n v="512326"/>
    <n v="0"/>
  </r>
  <r>
    <x v="11"/>
    <x v="15"/>
    <s v="CPV"/>
    <s v="Sub-Saharan Africa"/>
    <n v="0"/>
    <n v="92"/>
    <n v="0.92"/>
    <n v="512394"/>
    <n v="0"/>
  </r>
  <r>
    <x v="11"/>
    <x v="16"/>
    <s v="CPV"/>
    <s v="Sub-Saharan Africa"/>
    <m/>
    <n v="93"/>
    <n v="0.93"/>
    <n v="512554"/>
    <m/>
  </r>
  <r>
    <x v="11"/>
    <x v="17"/>
    <s v="CPV"/>
    <s v="Sub-Saharan Africa"/>
    <n v="0"/>
    <n v="96"/>
    <n v="0.96"/>
    <n v="512893"/>
    <n v="0"/>
  </r>
  <r>
    <x v="11"/>
    <x v="18"/>
    <s v="CPV"/>
    <s v="Sub-Saharan Africa"/>
    <n v="0"/>
    <n v="99"/>
    <n v="0.99"/>
    <n v="513415"/>
    <n v="0"/>
  </r>
  <r>
    <x v="11"/>
    <x v="19"/>
    <s v="CPV"/>
    <s v="Sub-Saharan Africa"/>
    <n v="0"/>
    <n v="98"/>
    <n v="0.98"/>
    <n v="514104"/>
    <n v="0"/>
  </r>
  <r>
    <x v="11"/>
    <x v="20"/>
    <s v="CPV"/>
    <s v="Sub-Saharan Africa"/>
    <m/>
    <n v="95"/>
    <n v="0.95"/>
    <n v="514679"/>
    <m/>
  </r>
  <r>
    <x v="11"/>
    <x v="21"/>
    <s v="CPV"/>
    <s v="Sub-Saharan Africa"/>
    <n v="0"/>
    <n v="95"/>
    <n v="0.95"/>
    <n v="516649"/>
    <n v="0"/>
  </r>
  <r>
    <x v="11"/>
    <x v="22"/>
    <s v="CPV"/>
    <s v="Sub-Saharan Africa"/>
    <n v="0"/>
    <n v="95"/>
    <n v="0.95"/>
    <n v="519741"/>
    <n v="0"/>
  </r>
  <r>
    <x v="11"/>
    <x v="23"/>
    <s v="CPV"/>
    <s v="Sub-Saharan Africa"/>
    <n v="0"/>
    <n v="95"/>
    <n v="0.95"/>
    <n v="522331"/>
    <n v="0"/>
  </r>
  <r>
    <x v="11"/>
    <x v="24"/>
    <s v="CPV"/>
    <s v="Sub-Saharan Africa"/>
    <n v="0"/>
    <n v="95"/>
    <n v="0.95"/>
    <n v="524877"/>
    <n v="0"/>
  </r>
  <r>
    <x v="12"/>
    <x v="0"/>
    <s v="ETH"/>
    <s v="Sub-Saharan Africa"/>
    <n v="1660"/>
    <n v="28.000000000000004"/>
    <n v="0.28000000000000003"/>
    <n v="67411494"/>
    <n v="2.4624880736213917"/>
  </r>
  <r>
    <x v="12"/>
    <x v="1"/>
    <s v="ETH"/>
    <s v="Sub-Saharan Africa"/>
    <n v="2366"/>
    <n v="28.999999999999996"/>
    <n v="0.28999999999999998"/>
    <n v="69487762"/>
    <n v="3.4049161059468287"/>
  </r>
  <r>
    <x v="12"/>
    <x v="2"/>
    <s v="ETH"/>
    <s v="Sub-Saharan Africa"/>
    <n v="3332"/>
    <n v="32"/>
    <n v="0.32"/>
    <n v="71635517"/>
    <n v="4.651324007335635"/>
  </r>
  <r>
    <x v="12"/>
    <x v="3"/>
    <s v="ETH"/>
    <s v="Sub-Saharan Africa"/>
    <n v="228"/>
    <n v="33"/>
    <n v="0.33"/>
    <n v="73832663"/>
    <n v="0.30880641539368558"/>
  </r>
  <r>
    <x v="12"/>
    <x v="4"/>
    <s v="ETH"/>
    <s v="Sub-Saharan Africa"/>
    <n v="73"/>
    <n v="35"/>
    <n v="0.35"/>
    <n v="76077206"/>
    <n v="9.5955153768396806E-2"/>
  </r>
  <r>
    <x v="12"/>
    <x v="5"/>
    <s v="ETH"/>
    <s v="Sub-Saharan Africa"/>
    <n v="357"/>
    <n v="40"/>
    <n v="0.4"/>
    <n v="78367470"/>
    <n v="0.4555461596501712"/>
  </r>
  <r>
    <x v="12"/>
    <x v="6"/>
    <s v="ETH"/>
    <s v="Sub-Saharan Africa"/>
    <n v="1451"/>
    <n v="44"/>
    <n v="0.44"/>
    <n v="80703490"/>
    <n v="1.7979395934426132"/>
  </r>
  <r>
    <x v="12"/>
    <x v="7"/>
    <s v="ETH"/>
    <s v="Sub-Saharan Africa"/>
    <n v="1446"/>
    <n v="49"/>
    <n v="0.49"/>
    <n v="83103217"/>
    <n v="1.7400048424118166"/>
  </r>
  <r>
    <x v="12"/>
    <x v="8"/>
    <s v="ETH"/>
    <s v="Sub-Saharan Africa"/>
    <n v="3511"/>
    <n v="54"/>
    <n v="0.54"/>
    <n v="85543668"/>
    <n v="4.1043365126685938"/>
  </r>
  <r>
    <x v="12"/>
    <x v="9"/>
    <s v="ETH"/>
    <s v="Sub-Saharan Africa"/>
    <n v="1176"/>
    <n v="59"/>
    <n v="0.59"/>
    <n v="88007636"/>
    <n v="1.3362476865075663"/>
  </r>
  <r>
    <x v="12"/>
    <x v="10"/>
    <s v="ETH"/>
    <s v="Sub-Saharan Africa"/>
    <n v="4235"/>
    <n v="64"/>
    <n v="0.64"/>
    <n v="90538514"/>
    <n v="4.6775673830917972"/>
  </r>
  <r>
    <x v="12"/>
    <x v="11"/>
    <s v="ETH"/>
    <s v="Sub-Saharan Africa"/>
    <n v="3255"/>
    <n v="68"/>
    <n v="0.68"/>
    <n v="93149970"/>
    <n v="3.4943650545459111"/>
  </r>
  <r>
    <x v="12"/>
    <x v="12"/>
    <s v="ETH"/>
    <s v="Sub-Saharan Africa"/>
    <n v="4347"/>
    <n v="62"/>
    <n v="0.62"/>
    <n v="95798767"/>
    <n v="4.5376366900421594"/>
  </r>
  <r>
    <x v="12"/>
    <x v="13"/>
    <s v="ETH"/>
    <s v="Sub-Saharan Africa"/>
    <n v="5253"/>
    <n v="55.000000000000007"/>
    <n v="0.55000000000000004"/>
    <n v="98438751"/>
    <n v="5.3363131354643052"/>
  </r>
  <r>
    <x v="12"/>
    <x v="14"/>
    <s v="ETH"/>
    <s v="Sub-Saharan Africa"/>
    <n v="12739"/>
    <n v="54"/>
    <n v="0.54"/>
    <n v="101115610"/>
    <n v="12.598450427189233"/>
  </r>
  <r>
    <x v="12"/>
    <x v="15"/>
    <s v="ETH"/>
    <s v="Sub-Saharan Africa"/>
    <n v="17745"/>
    <n v="56.000000000000007"/>
    <n v="0.56000000000000005"/>
    <n v="103867135"/>
    <n v="17.084326047888005"/>
  </r>
  <r>
    <x v="12"/>
    <x v="16"/>
    <s v="ETH"/>
    <s v="Sub-Saharan Africa"/>
    <n v="4579"/>
    <n v="56.999999999999993"/>
    <n v="0.56999999999999995"/>
    <n v="106718162"/>
    <n v="4.2907410642998141"/>
  </r>
  <r>
    <x v="12"/>
    <x v="17"/>
    <s v="ETH"/>
    <s v="Sub-Saharan Africa"/>
    <n v="1921"/>
    <n v="59"/>
    <n v="0.59"/>
    <n v="109666481"/>
    <n v="1.751674698124033"/>
  </r>
  <r>
    <x v="12"/>
    <x v="18"/>
    <s v="ETH"/>
    <s v="Sub-Saharan Africa"/>
    <n v="1752"/>
    <n v="54"/>
    <n v="0.54"/>
    <n v="112664152"/>
    <n v="1.5550642940977355"/>
  </r>
  <r>
    <x v="12"/>
    <x v="19"/>
    <s v="ETH"/>
    <s v="Sub-Saharan Africa"/>
    <n v="3998"/>
    <n v="56.000000000000007"/>
    <n v="0.56000000000000005"/>
    <n v="115737383"/>
    <n v="3.4543722143777864"/>
  </r>
  <r>
    <x v="12"/>
    <x v="20"/>
    <s v="ETH"/>
    <s v="Sub-Saharan Africa"/>
    <n v="1952"/>
    <n v="56.999999999999993"/>
    <n v="0.56999999999999995"/>
    <n v="118917671"/>
    <n v="1.6414717708354714"/>
  </r>
  <r>
    <x v="12"/>
    <x v="21"/>
    <s v="ETH"/>
    <s v="Sub-Saharan Africa"/>
    <n v="1953"/>
    <n v="60"/>
    <n v="0.6"/>
    <n v="122138588"/>
    <n v="1.5990032568576935"/>
  </r>
  <r>
    <x v="12"/>
    <x v="22"/>
    <s v="ETH"/>
    <s v="Sub-Saharan Africa"/>
    <n v="9292"/>
    <n v="62"/>
    <n v="0.62"/>
    <n v="125384287"/>
    <n v="7.4108169550782703"/>
  </r>
  <r>
    <x v="12"/>
    <x v="23"/>
    <s v="ETH"/>
    <s v="Sub-Saharan Africa"/>
    <n v="24038"/>
    <n v="68"/>
    <n v="0.68"/>
    <n v="128691692"/>
    <n v="18.678750451116922"/>
  </r>
  <r>
    <x v="12"/>
    <x v="24"/>
    <s v="ETH"/>
    <s v="Sub-Saharan Africa"/>
    <n v="31044"/>
    <n v="72"/>
    <n v="0.72"/>
    <n v="132059767"/>
    <n v="23.507538067971907"/>
  </r>
  <r>
    <x v="13"/>
    <x v="0"/>
    <s v="GAB"/>
    <s v="Sub-Saharan Africa"/>
    <n v="15"/>
    <n v="55.000000000000007"/>
    <n v="0.55000000000000004"/>
    <n v="1275572"/>
    <n v="1.1759430279121836"/>
  </r>
  <r>
    <x v="13"/>
    <x v="1"/>
    <s v="GAB"/>
    <s v="Sub-Saharan Africa"/>
    <n v="5129"/>
    <n v="55.000000000000007"/>
    <n v="0.55000000000000004"/>
    <n v="1309589"/>
    <n v="391.64959388021737"/>
  </r>
  <r>
    <x v="13"/>
    <x v="2"/>
    <s v="GAB"/>
    <s v="Sub-Saharan Africa"/>
    <n v="110"/>
    <n v="55.000000000000007"/>
    <n v="0.55000000000000004"/>
    <n v="1345135"/>
    <n v="8.1776178599174063"/>
  </r>
  <r>
    <x v="13"/>
    <x v="3"/>
    <s v="GAB"/>
    <s v="Sub-Saharan Africa"/>
    <m/>
    <n v="55.000000000000007"/>
    <n v="0.55000000000000004"/>
    <n v="1382350"/>
    <m/>
  </r>
  <r>
    <x v="13"/>
    <x v="4"/>
    <s v="GAB"/>
    <s v="Sub-Saharan Africa"/>
    <n v="63"/>
    <n v="55.000000000000007"/>
    <n v="0.55000000000000004"/>
    <n v="1421609"/>
    <n v="4.431598280539867"/>
  </r>
  <r>
    <x v="13"/>
    <x v="5"/>
    <s v="GAB"/>
    <s v="Sub-Saharan Africa"/>
    <n v="0"/>
    <n v="55.000000000000007"/>
    <n v="0.55000000000000004"/>
    <n v="1463495"/>
    <n v="0"/>
  </r>
  <r>
    <x v="13"/>
    <x v="6"/>
    <s v="GAB"/>
    <s v="Sub-Saharan Africa"/>
    <n v="90"/>
    <n v="55.000000000000007"/>
    <n v="0.55000000000000004"/>
    <n v="1508337"/>
    <n v="5.9668363237128048"/>
  </r>
  <r>
    <x v="13"/>
    <x v="7"/>
    <s v="GAB"/>
    <s v="Sub-Saharan Africa"/>
    <n v="0"/>
    <n v="62"/>
    <n v="0.62"/>
    <n v="1556237"/>
    <n v="0"/>
  </r>
  <r>
    <x v="13"/>
    <x v="8"/>
    <s v="GAB"/>
    <s v="Sub-Saharan Africa"/>
    <n v="3"/>
    <n v="67"/>
    <n v="0.67"/>
    <n v="1607175"/>
    <n v="0.1866629334079985"/>
  </r>
  <r>
    <x v="13"/>
    <x v="9"/>
    <s v="GAB"/>
    <s v="Sub-Saharan Africa"/>
    <n v="0"/>
    <n v="63"/>
    <n v="0.63"/>
    <n v="1661556"/>
    <n v="0"/>
  </r>
  <r>
    <x v="13"/>
    <x v="10"/>
    <s v="GAB"/>
    <s v="Sub-Saharan Africa"/>
    <n v="1"/>
    <n v="62"/>
    <n v="0.62"/>
    <n v="1719879"/>
    <n v="5.8143625220146301E-2"/>
  </r>
  <r>
    <x v="13"/>
    <x v="11"/>
    <s v="GAB"/>
    <s v="Sub-Saharan Africa"/>
    <n v="2"/>
    <n v="72"/>
    <n v="0.72"/>
    <n v="1781985"/>
    <n v="0.11223439030070398"/>
  </r>
  <r>
    <x v="13"/>
    <x v="12"/>
    <s v="GAB"/>
    <s v="Sub-Saharan Africa"/>
    <n v="2"/>
    <n v="71"/>
    <n v="0.71"/>
    <n v="1846889"/>
    <n v="0.10829021126878768"/>
  </r>
  <r>
    <x v="13"/>
    <x v="13"/>
    <s v="GAB"/>
    <s v="Sub-Saharan Africa"/>
    <n v="122"/>
    <n v="70"/>
    <n v="0.7"/>
    <n v="1913059"/>
    <n v="6.3772209848206467"/>
  </r>
  <r>
    <x v="13"/>
    <x v="14"/>
    <s v="GAB"/>
    <s v="Sub-Saharan Africa"/>
    <n v="33"/>
    <n v="61"/>
    <n v="0.61"/>
    <n v="1978399"/>
    <n v="1.6680154003312782"/>
  </r>
  <r>
    <x v="13"/>
    <x v="15"/>
    <s v="GAB"/>
    <s v="Sub-Saharan Africa"/>
    <n v="27"/>
    <n v="68"/>
    <n v="0.68"/>
    <n v="2040989"/>
    <n v="1.3228880704403601"/>
  </r>
  <r>
    <x v="13"/>
    <x v="16"/>
    <s v="GAB"/>
    <s v="Sub-Saharan Africa"/>
    <n v="1509"/>
    <n v="64"/>
    <n v="0.64"/>
    <n v="2100306"/>
    <n v="71.846673770393451"/>
  </r>
  <r>
    <x v="13"/>
    <x v="17"/>
    <s v="GAB"/>
    <s v="Sub-Saharan Africa"/>
    <n v="1075"/>
    <n v="63"/>
    <n v="0.63"/>
    <n v="2156900"/>
    <n v="49.840048217348972"/>
  </r>
  <r>
    <x v="13"/>
    <x v="18"/>
    <s v="GAB"/>
    <s v="Sub-Saharan Africa"/>
    <n v="1"/>
    <n v="59"/>
    <n v="0.59"/>
    <n v="2212318"/>
    <n v="4.520145837985317E-2"/>
  </r>
  <r>
    <x v="13"/>
    <x v="19"/>
    <s v="GAB"/>
    <s v="Sub-Saharan Africa"/>
    <n v="2"/>
    <n v="62"/>
    <n v="0.62"/>
    <n v="2267706"/>
    <n v="8.8194854183037838E-2"/>
  </r>
  <r>
    <x v="13"/>
    <x v="20"/>
    <s v="GAB"/>
    <s v="Sub-Saharan Africa"/>
    <n v="9"/>
    <n v="53"/>
    <n v="0.53"/>
    <n v="2322539"/>
    <n v="0.38750694821486309"/>
  </r>
  <r>
    <x v="13"/>
    <x v="21"/>
    <s v="GAB"/>
    <s v="Sub-Saharan Africa"/>
    <n v="134"/>
    <n v="64"/>
    <n v="0.64"/>
    <n v="2376722"/>
    <n v="5.6380174038023796"/>
  </r>
  <r>
    <x v="13"/>
    <x v="22"/>
    <s v="GAB"/>
    <s v="Sub-Saharan Africa"/>
    <n v="1293"/>
    <n v="52"/>
    <n v="0.52"/>
    <n v="2430747"/>
    <n v="53.193524459764831"/>
  </r>
  <r>
    <x v="13"/>
    <x v="23"/>
    <s v="GAB"/>
    <s v="Sub-Saharan Africa"/>
    <n v="1167"/>
    <n v="66"/>
    <n v="0.66"/>
    <n v="2484789"/>
    <n v="46.965758460778765"/>
  </r>
  <r>
    <x v="13"/>
    <x v="24"/>
    <s v="GAB"/>
    <s v="Sub-Saharan Africa"/>
    <n v="32"/>
    <n v="56.999999999999993"/>
    <n v="0.56999999999999995"/>
    <n v="2538952"/>
    <n v="1.2603625432855761"/>
  </r>
  <r>
    <x v="14"/>
    <x v="0"/>
    <s v="GHA"/>
    <s v="Sub-Saharan Africa"/>
    <n v="23068"/>
    <n v="90"/>
    <n v="0.9"/>
    <n v="19637087"/>
    <n v="117.47159851153074"/>
  </r>
  <r>
    <x v="14"/>
    <x v="1"/>
    <s v="GHA"/>
    <s v="Sub-Saharan Africa"/>
    <n v="13476"/>
    <n v="78"/>
    <n v="0.78"/>
    <n v="20167069"/>
    <n v="66.821807373198354"/>
  </r>
  <r>
    <x v="14"/>
    <x v="2"/>
    <s v="GHA"/>
    <s v="Sub-Saharan Africa"/>
    <n v="12289"/>
    <n v="78"/>
    <n v="0.78"/>
    <n v="20729388"/>
    <n v="59.282985103081671"/>
  </r>
  <r>
    <x v="14"/>
    <x v="3"/>
    <s v="GHA"/>
    <s v="Sub-Saharan Africa"/>
    <n v="1939"/>
    <n v="80"/>
    <n v="0.8"/>
    <n v="21296705"/>
    <n v="9.104694834247832"/>
  </r>
  <r>
    <x v="14"/>
    <x v="4"/>
    <s v="GHA"/>
    <s v="Sub-Saharan Africa"/>
    <n v="60"/>
    <n v="83"/>
    <n v="0.83"/>
    <n v="21868298"/>
    <n v="0.27436977491343861"/>
  </r>
  <r>
    <x v="14"/>
    <x v="5"/>
    <s v="GHA"/>
    <s v="Sub-Saharan Africa"/>
    <n v="435"/>
    <n v="83"/>
    <n v="0.83"/>
    <n v="22449438"/>
    <n v="1.9376877051443337"/>
  </r>
  <r>
    <x v="14"/>
    <x v="6"/>
    <s v="GHA"/>
    <s v="Sub-Saharan Africa"/>
    <n v="420"/>
    <n v="85"/>
    <n v="0.85"/>
    <n v="23040702"/>
    <n v="1.8228611263667229"/>
  </r>
  <r>
    <x v="14"/>
    <x v="7"/>
    <s v="GHA"/>
    <s v="Sub-Saharan Africa"/>
    <n v="6"/>
    <n v="95"/>
    <n v="0.95"/>
    <n v="23642279"/>
    <n v="2.5378264083593633E-2"/>
  </r>
  <r>
    <x v="14"/>
    <x v="8"/>
    <s v="GHA"/>
    <s v="Sub-Saharan Africa"/>
    <n v="82"/>
    <n v="86"/>
    <n v="0.86"/>
    <n v="24249946"/>
    <n v="0.33814508287977219"/>
  </r>
  <r>
    <x v="14"/>
    <x v="9"/>
    <s v="GHA"/>
    <s v="Sub-Saharan Africa"/>
    <n v="101"/>
    <n v="93"/>
    <n v="0.93"/>
    <n v="24862664"/>
    <n v="0.40623160896998001"/>
  </r>
  <r>
    <x v="14"/>
    <x v="10"/>
    <s v="GHA"/>
    <s v="Sub-Saharan Africa"/>
    <n v="641"/>
    <n v="93"/>
    <n v="0.93"/>
    <n v="25474995"/>
    <n v="2.5161928392920192"/>
  </r>
  <r>
    <x v="14"/>
    <x v="11"/>
    <s v="GHA"/>
    <s v="Sub-Saharan Africa"/>
    <n v="120"/>
    <n v="91"/>
    <n v="0.91"/>
    <n v="26095088"/>
    <n v="0.45985665961348737"/>
  </r>
  <r>
    <x v="14"/>
    <x v="12"/>
    <s v="GHA"/>
    <s v="Sub-Saharan Africa"/>
    <n v="1613"/>
    <n v="89"/>
    <n v="0.89"/>
    <n v="26734268"/>
    <n v="6.0334548901806473"/>
  </r>
  <r>
    <x v="14"/>
    <x v="13"/>
    <s v="GHA"/>
    <s v="Sub-Saharan Africa"/>
    <n v="319"/>
    <n v="89"/>
    <n v="0.89"/>
    <n v="27386193"/>
    <n v="1.1648205356618937"/>
  </r>
  <r>
    <x v="14"/>
    <x v="14"/>
    <s v="GHA"/>
    <s v="Sub-Saharan Africa"/>
    <n v="124"/>
    <n v="92"/>
    <n v="0.92"/>
    <n v="28041592"/>
    <n v="0.44220028591814614"/>
  </r>
  <r>
    <x v="14"/>
    <x v="15"/>
    <s v="GHA"/>
    <s v="Sub-Saharan Africa"/>
    <n v="23"/>
    <n v="89"/>
    <n v="0.89"/>
    <n v="28696068"/>
    <n v="8.0150353700026072E-2"/>
  </r>
  <r>
    <x v="14"/>
    <x v="16"/>
    <s v="GHA"/>
    <s v="Sub-Saharan Africa"/>
    <n v="32"/>
    <n v="89"/>
    <n v="0.89"/>
    <n v="29356742"/>
    <n v="0.10900392148420283"/>
  </r>
  <r>
    <x v="14"/>
    <x v="17"/>
    <s v="GHA"/>
    <s v="Sub-Saharan Africa"/>
    <n v="19"/>
    <n v="95"/>
    <n v="0.95"/>
    <n v="30008354"/>
    <n v="6.3315702020843939E-2"/>
  </r>
  <r>
    <x v="14"/>
    <x v="18"/>
    <s v="GHA"/>
    <s v="Sub-Saharan Africa"/>
    <n v="34"/>
    <n v="92"/>
    <n v="0.92"/>
    <n v="30637585"/>
    <n v="0.11097480431306841"/>
  </r>
  <r>
    <x v="14"/>
    <x v="19"/>
    <s v="GHA"/>
    <s v="Sub-Saharan Africa"/>
    <n v="1274"/>
    <n v="92"/>
    <n v="0.92"/>
    <n v="31258945"/>
    <n v="4.0756333906982469"/>
  </r>
  <r>
    <x v="14"/>
    <x v="20"/>
    <s v="GHA"/>
    <s v="Sub-Saharan Africa"/>
    <n v="88"/>
    <n v="88"/>
    <n v="0.88"/>
    <n v="31887809"/>
    <n v="0.27596753354863607"/>
  </r>
  <r>
    <x v="14"/>
    <x v="21"/>
    <s v="GHA"/>
    <s v="Sub-Saharan Africa"/>
    <n v="52"/>
    <n v="94"/>
    <n v="0.94"/>
    <n v="32518665"/>
    <n v="0.15990816351163248"/>
  </r>
  <r>
    <x v="14"/>
    <x v="22"/>
    <s v="GHA"/>
    <s v="Sub-Saharan Africa"/>
    <n v="395"/>
    <n v="95"/>
    <n v="0.95"/>
    <n v="33149152"/>
    <n v="1.1915840260408472"/>
  </r>
  <r>
    <x v="14"/>
    <x v="23"/>
    <s v="GHA"/>
    <s v="Sub-Saharan Africa"/>
    <n v="2282"/>
    <n v="90"/>
    <n v="0.9"/>
    <n v="33787914"/>
    <n v="6.7538943067038701"/>
  </r>
  <r>
    <x v="14"/>
    <x v="24"/>
    <s v="GHA"/>
    <s v="Sub-Saharan Africa"/>
    <n v="1944"/>
    <n v="90"/>
    <n v="0.9"/>
    <n v="34427414"/>
    <n v="5.6466628600103395"/>
  </r>
  <r>
    <x v="15"/>
    <x v="0"/>
    <s v="GIN"/>
    <s v="Sub-Saharan Africa"/>
    <n v="11294"/>
    <n v="42"/>
    <n v="0.42"/>
    <n v="8428832"/>
    <n v="133.9924677582849"/>
  </r>
  <r>
    <x v="15"/>
    <x v="1"/>
    <s v="GIN"/>
    <s v="Sub-Saharan Africa"/>
    <n v="7408"/>
    <n v="44"/>
    <n v="0.44"/>
    <n v="8539960"/>
    <n v="86.745136979564307"/>
  </r>
  <r>
    <x v="15"/>
    <x v="2"/>
    <s v="GIN"/>
    <s v="Sub-Saharan Africa"/>
    <n v="2151"/>
    <n v="46"/>
    <n v="0.46"/>
    <n v="8674066"/>
    <n v="24.798058949516868"/>
  </r>
  <r>
    <x v="15"/>
    <x v="3"/>
    <s v="GIN"/>
    <s v="Sub-Saharan Africa"/>
    <n v="2497"/>
    <n v="48"/>
    <n v="0.48"/>
    <n v="8870781"/>
    <n v="28.14859255346288"/>
  </r>
  <r>
    <x v="15"/>
    <x v="4"/>
    <s v="GIN"/>
    <s v="Sub-Saharan Africa"/>
    <n v="10"/>
    <n v="50"/>
    <n v="0.5"/>
    <n v="9062726"/>
    <n v="0.11034207588312832"/>
  </r>
  <r>
    <x v="15"/>
    <x v="5"/>
    <s v="GIN"/>
    <s v="Sub-Saharan Africa"/>
    <n v="99"/>
    <n v="51"/>
    <n v="0.51"/>
    <n v="9245844"/>
    <n v="1.0707513559605808"/>
  </r>
  <r>
    <x v="15"/>
    <x v="6"/>
    <s v="GIN"/>
    <s v="Sub-Saharan Africa"/>
    <n v="4"/>
    <n v="51"/>
    <n v="0.51"/>
    <n v="9441171"/>
    <n v="4.236762579557133E-2"/>
  </r>
  <r>
    <x v="15"/>
    <x v="7"/>
    <s v="GIN"/>
    <s v="Sub-Saharan Africa"/>
    <n v="3"/>
    <n v="56.999999999999993"/>
    <n v="0.56999999999999995"/>
    <n v="9662281"/>
    <n v="3.1048569173262507E-2"/>
  </r>
  <r>
    <x v="15"/>
    <x v="8"/>
    <s v="GIN"/>
    <s v="Sub-Saharan Africa"/>
    <n v="89"/>
    <n v="55.000000000000007"/>
    <n v="0.55000000000000004"/>
    <n v="9898870"/>
    <n v="0.89909252268188189"/>
  </r>
  <r>
    <x v="15"/>
    <x v="9"/>
    <s v="GIN"/>
    <s v="Sub-Saharan Africa"/>
    <n v="264"/>
    <n v="53"/>
    <n v="0.53"/>
    <n v="10143534"/>
    <n v="2.6026432207946462"/>
  </r>
  <r>
    <x v="15"/>
    <x v="10"/>
    <s v="GIN"/>
    <s v="Sub-Saharan Africa"/>
    <n v="45"/>
    <n v="57.999999999999993"/>
    <n v="0.57999999999999996"/>
    <n v="10396086"/>
    <n v="0.43285521108617225"/>
  </r>
  <r>
    <x v="15"/>
    <x v="11"/>
    <s v="GIN"/>
    <s v="Sub-Saharan Africa"/>
    <n v="11"/>
    <n v="62"/>
    <n v="0.62"/>
    <n v="10656810"/>
    <n v="0.10322038208431979"/>
  </r>
  <r>
    <x v="15"/>
    <x v="12"/>
    <s v="GIN"/>
    <s v="Sub-Saharan Africa"/>
    <n v="6"/>
    <n v="57.999999999999993"/>
    <n v="0.57999999999999996"/>
    <n v="10921581"/>
    <n v="5.4937101139477883E-2"/>
  </r>
  <r>
    <x v="15"/>
    <x v="13"/>
    <s v="GIN"/>
    <s v="Sub-Saharan Africa"/>
    <n v="53"/>
    <n v="55.000000000000007"/>
    <n v="0.55000000000000004"/>
    <n v="11191873"/>
    <n v="0.47355791117358098"/>
  </r>
  <r>
    <x v="15"/>
    <x v="14"/>
    <s v="GIN"/>
    <s v="Sub-Saharan Africa"/>
    <n v="175"/>
    <n v="51"/>
    <n v="0.51"/>
    <n v="11472924"/>
    <n v="1.525330421433978"/>
  </r>
  <r>
    <x v="15"/>
    <x v="15"/>
    <s v="GIN"/>
    <s v="Sub-Saharan Africa"/>
    <n v="243"/>
    <n v="47"/>
    <n v="0.47"/>
    <n v="11767070"/>
    <n v="2.0650850211649967"/>
  </r>
  <r>
    <x v="15"/>
    <x v="16"/>
    <s v="GIN"/>
    <s v="Sub-Saharan Africa"/>
    <n v="316"/>
    <n v="48"/>
    <n v="0.48"/>
    <n v="12073030"/>
    <n v="2.6174042473181962"/>
  </r>
  <r>
    <x v="15"/>
    <x v="17"/>
    <s v="GIN"/>
    <s v="Sub-Saharan Africa"/>
    <n v="2036"/>
    <n v="48"/>
    <n v="0.48"/>
    <n v="12385659"/>
    <n v="16.438366339651367"/>
  </r>
  <r>
    <x v="15"/>
    <x v="18"/>
    <s v="GIN"/>
    <s v="Sub-Saharan Africa"/>
    <n v="482"/>
    <n v="49"/>
    <n v="0.49"/>
    <n v="12704774"/>
    <n v="3.7938494616275742"/>
  </r>
  <r>
    <x v="15"/>
    <x v="19"/>
    <s v="GIN"/>
    <s v="Sub-Saharan Africa"/>
    <n v="4555"/>
    <n v="50"/>
    <n v="0.5"/>
    <n v="13034346"/>
    <n v="34.946133852822378"/>
  </r>
  <r>
    <x v="15"/>
    <x v="20"/>
    <s v="GIN"/>
    <s v="Sub-Saharan Africa"/>
    <n v="506"/>
    <n v="50"/>
    <n v="0.5"/>
    <n v="13371183"/>
    <n v="3.784257533533121"/>
  </r>
  <r>
    <x v="15"/>
    <x v="21"/>
    <s v="GIN"/>
    <s v="Sub-Saharan Africa"/>
    <n v="505"/>
    <n v="51"/>
    <n v="0.51"/>
    <n v="13710513"/>
    <n v="3.6833049208297313"/>
  </r>
  <r>
    <x v="15"/>
    <x v="22"/>
    <s v="GIN"/>
    <s v="Sub-Saharan Africa"/>
    <n v="417"/>
    <n v="51"/>
    <n v="0.51"/>
    <n v="14055137"/>
    <n v="2.9668867688731884"/>
  </r>
  <r>
    <x v="15"/>
    <x v="23"/>
    <s v="GIN"/>
    <s v="Sub-Saharan Africa"/>
    <n v="94"/>
    <n v="52"/>
    <n v="0.52"/>
    <n v="14405468"/>
    <n v="0.65252999763700836"/>
  </r>
  <r>
    <x v="15"/>
    <x v="24"/>
    <s v="GIN"/>
    <s v="Sub-Saharan Africa"/>
    <n v="577"/>
    <n v="60"/>
    <n v="0.6"/>
    <n v="14754785"/>
    <n v="3.9105957829951432"/>
  </r>
  <r>
    <x v="16"/>
    <x v="0"/>
    <s v="GMB"/>
    <s v="Sub-Saharan Africa"/>
    <n v="336"/>
    <n v="89"/>
    <n v="0.89"/>
    <n v="1455084"/>
    <n v="23.09145039049292"/>
  </r>
  <r>
    <x v="16"/>
    <x v="1"/>
    <s v="GMB"/>
    <s v="Sub-Saharan Africa"/>
    <n v="99"/>
    <n v="89"/>
    <n v="0.89"/>
    <n v="1495011"/>
    <n v="6.6220248546666216"/>
  </r>
  <r>
    <x v="16"/>
    <x v="2"/>
    <s v="GMB"/>
    <s v="Sub-Saharan Africa"/>
    <n v="32"/>
    <n v="90"/>
    <n v="0.9"/>
    <n v="1535691"/>
    <n v="2.0837525257359717"/>
  </r>
  <r>
    <x v="16"/>
    <x v="3"/>
    <s v="GMB"/>
    <s v="Sub-Saharan Africa"/>
    <n v="119"/>
    <n v="90"/>
    <n v="0.9"/>
    <n v="1577611"/>
    <n v="7.5430508534740186"/>
  </r>
  <r>
    <x v="16"/>
    <x v="4"/>
    <s v="GMB"/>
    <s v="Sub-Saharan Africa"/>
    <n v="0"/>
    <n v="92"/>
    <n v="0.92"/>
    <n v="1621312"/>
    <n v="0"/>
  </r>
  <r>
    <x v="16"/>
    <x v="5"/>
    <s v="GMB"/>
    <s v="Sub-Saharan Africa"/>
    <n v="0"/>
    <n v="91"/>
    <n v="0.91"/>
    <n v="1667037"/>
    <n v="0"/>
  </r>
  <r>
    <x v="16"/>
    <x v="6"/>
    <s v="GMB"/>
    <s v="Sub-Saharan Africa"/>
    <n v="0"/>
    <n v="89"/>
    <n v="0.89"/>
    <n v="1715275"/>
    <n v="0"/>
  </r>
  <r>
    <x v="16"/>
    <x v="7"/>
    <s v="GMB"/>
    <s v="Sub-Saharan Africa"/>
    <n v="0"/>
    <n v="88"/>
    <n v="0.88"/>
    <n v="1765774"/>
    <n v="0"/>
  </r>
  <r>
    <x v="16"/>
    <x v="8"/>
    <s v="GMB"/>
    <s v="Sub-Saharan Africa"/>
    <n v="0"/>
    <n v="92"/>
    <n v="0.92"/>
    <n v="1817852"/>
    <n v="0"/>
  </r>
  <r>
    <x v="16"/>
    <x v="9"/>
    <s v="GMB"/>
    <s v="Sub-Saharan Africa"/>
    <n v="0"/>
    <n v="96"/>
    <n v="0.96"/>
    <n v="1871422"/>
    <n v="0"/>
  </r>
  <r>
    <x v="16"/>
    <x v="10"/>
    <s v="GMB"/>
    <s v="Sub-Saharan Africa"/>
    <n v="2"/>
    <n v="92"/>
    <n v="0.92"/>
    <n v="1926630"/>
    <n v="0.10380820396235914"/>
  </r>
  <r>
    <x v="16"/>
    <x v="11"/>
    <s v="GMB"/>
    <s v="Sub-Saharan Africa"/>
    <n v="0"/>
    <n v="91"/>
    <n v="0.91"/>
    <n v="1983784"/>
    <n v="0"/>
  </r>
  <r>
    <x v="16"/>
    <x v="12"/>
    <s v="GMB"/>
    <s v="Sub-Saharan Africa"/>
    <n v="0"/>
    <n v="95"/>
    <n v="0.95"/>
    <n v="2043094"/>
    <n v="0"/>
  </r>
  <r>
    <x v="16"/>
    <x v="13"/>
    <s v="GMB"/>
    <s v="Sub-Saharan Africa"/>
    <n v="0"/>
    <n v="96"/>
    <n v="0.96"/>
    <n v="2103820"/>
    <n v="0"/>
  </r>
  <r>
    <x v="16"/>
    <x v="14"/>
    <s v="GMB"/>
    <s v="Sub-Saharan Africa"/>
    <n v="1"/>
    <n v="96"/>
    <n v="0.96"/>
    <n v="2164528"/>
    <n v="4.6199448563381949E-2"/>
  </r>
  <r>
    <x v="16"/>
    <x v="15"/>
    <s v="GMB"/>
    <s v="Sub-Saharan Africa"/>
    <n v="71"/>
    <n v="97"/>
    <n v="0.97"/>
    <n v="2224529"/>
    <n v="3.1916868694451725"/>
  </r>
  <r>
    <x v="16"/>
    <x v="16"/>
    <s v="GMB"/>
    <s v="Sub-Saharan Africa"/>
    <n v="45"/>
    <n v="97"/>
    <n v="0.97"/>
    <n v="2283769"/>
    <n v="1.9704269564916592"/>
  </r>
  <r>
    <x v="16"/>
    <x v="17"/>
    <s v="GMB"/>
    <s v="Sub-Saharan Africa"/>
    <n v="1"/>
    <n v="90"/>
    <n v="0.9"/>
    <n v="2342189"/>
    <n v="4.2695102743629997E-2"/>
  </r>
  <r>
    <x v="16"/>
    <x v="18"/>
    <s v="GMB"/>
    <s v="Sub-Saharan Africa"/>
    <n v="4"/>
    <n v="91"/>
    <n v="0.91"/>
    <n v="2399632"/>
    <n v="0.16669222614134166"/>
  </r>
  <r>
    <x v="16"/>
    <x v="19"/>
    <s v="GMB"/>
    <s v="Sub-Saharan Africa"/>
    <n v="1"/>
    <n v="85"/>
    <n v="0.85"/>
    <n v="2456844"/>
    <n v="4.0702624993691094E-2"/>
  </r>
  <r>
    <x v="16"/>
    <x v="20"/>
    <s v="GMB"/>
    <s v="Sub-Saharan Africa"/>
    <m/>
    <n v="82"/>
    <n v="0.82"/>
    <n v="2515733"/>
    <m/>
  </r>
  <r>
    <x v="16"/>
    <x v="21"/>
    <s v="GMB"/>
    <s v="Sub-Saharan Africa"/>
    <n v="0"/>
    <n v="79"/>
    <n v="0.79"/>
    <n v="2576010"/>
    <n v="0"/>
  </r>
  <r>
    <x v="16"/>
    <x v="22"/>
    <s v="GMB"/>
    <s v="Sub-Saharan Africa"/>
    <n v="58"/>
    <n v="74"/>
    <n v="0.74"/>
    <n v="2636470"/>
    <n v="2.1999112449601173"/>
  </r>
  <r>
    <x v="16"/>
    <x v="23"/>
    <s v="GMB"/>
    <s v="Sub-Saharan Africa"/>
    <n v="38"/>
    <n v="80"/>
    <n v="0.8"/>
    <n v="2697845"/>
    <n v="1.4085316243149624"/>
  </r>
  <r>
    <x v="16"/>
    <x v="24"/>
    <s v="GMB"/>
    <s v="Sub-Saharan Africa"/>
    <n v="8"/>
    <n v="83"/>
    <n v="0.83"/>
    <n v="2759988"/>
    <n v="0.28985633270869293"/>
  </r>
  <r>
    <x v="17"/>
    <x v="0"/>
    <s v="GNB"/>
    <s v="Sub-Saharan Africa"/>
    <m/>
    <n v="71"/>
    <n v="0.71"/>
    <n v="1234741"/>
    <m/>
  </r>
  <r>
    <x v="17"/>
    <x v="1"/>
    <s v="GNB"/>
    <s v="Sub-Saharan Africa"/>
    <n v="126"/>
    <n v="72"/>
    <n v="0.72"/>
    <n v="1261273"/>
    <n v="9.9899070225082127"/>
  </r>
  <r>
    <x v="17"/>
    <x v="2"/>
    <s v="GNB"/>
    <s v="Sub-Saharan Africa"/>
    <n v="298"/>
    <n v="73"/>
    <n v="0.73"/>
    <n v="1289307"/>
    <n v="23.113191815448143"/>
  </r>
  <r>
    <x v="17"/>
    <x v="3"/>
    <s v="GNB"/>
    <s v="Sub-Saharan Africa"/>
    <n v="1158"/>
    <n v="74"/>
    <n v="0.74"/>
    <n v="1318806"/>
    <n v="87.806697876715759"/>
  </r>
  <r>
    <x v="17"/>
    <x v="4"/>
    <s v="GNB"/>
    <s v="Sub-Saharan Africa"/>
    <n v="3526"/>
    <n v="75"/>
    <n v="0.75"/>
    <n v="1349563"/>
    <n v="261.26975917389552"/>
  </r>
  <r>
    <x v="17"/>
    <x v="5"/>
    <s v="GNB"/>
    <s v="Sub-Saharan Africa"/>
    <n v="0"/>
    <n v="76"/>
    <n v="0.76"/>
    <n v="1381585"/>
    <n v="0"/>
  </r>
  <r>
    <x v="17"/>
    <x v="6"/>
    <s v="GNB"/>
    <s v="Sub-Saharan Africa"/>
    <n v="0"/>
    <n v="74"/>
    <n v="0.74"/>
    <n v="1415303"/>
    <n v="0"/>
  </r>
  <r>
    <x v="17"/>
    <x v="7"/>
    <s v="GNB"/>
    <s v="Sub-Saharan Africa"/>
    <n v="1"/>
    <n v="73"/>
    <n v="0.73"/>
    <n v="1450986"/>
    <n v="6.8918652557640125E-2"/>
  </r>
  <r>
    <x v="17"/>
    <x v="8"/>
    <s v="GNB"/>
    <s v="Sub-Saharan Africa"/>
    <n v="12"/>
    <n v="71"/>
    <n v="0.71"/>
    <n v="1488054"/>
    <n v="0.80642234757609599"/>
  </r>
  <r>
    <x v="17"/>
    <x v="9"/>
    <s v="GNB"/>
    <s v="Sub-Saharan Africa"/>
    <n v="0"/>
    <n v="69"/>
    <n v="0.69"/>
    <n v="1526377"/>
    <n v="0"/>
  </r>
  <r>
    <x v="17"/>
    <x v="10"/>
    <s v="GNB"/>
    <s v="Sub-Saharan Africa"/>
    <n v="26"/>
    <n v="76"/>
    <n v="0.76"/>
    <n v="1566347"/>
    <n v="1.6599131610045539"/>
  </r>
  <r>
    <x v="17"/>
    <x v="11"/>
    <s v="GNB"/>
    <s v="Sub-Saharan Africa"/>
    <n v="0"/>
    <n v="83"/>
    <n v="0.83"/>
    <n v="1608076"/>
    <n v="0"/>
  </r>
  <r>
    <x v="17"/>
    <x v="12"/>
    <s v="GNB"/>
    <s v="Sub-Saharan Africa"/>
    <n v="0"/>
    <n v="81"/>
    <n v="0.81"/>
    <n v="1651417"/>
    <n v="0"/>
  </r>
  <r>
    <x v="17"/>
    <x v="13"/>
    <s v="GNB"/>
    <s v="Sub-Saharan Africa"/>
    <n v="0"/>
    <n v="81"/>
    <n v="0.81"/>
    <n v="1695973"/>
    <n v="0"/>
  </r>
  <r>
    <x v="17"/>
    <x v="14"/>
    <s v="GNB"/>
    <s v="Sub-Saharan Africa"/>
    <n v="1"/>
    <n v="81"/>
    <n v="0.81"/>
    <n v="1741122"/>
    <n v="5.7434229192440275E-2"/>
  </r>
  <r>
    <x v="17"/>
    <x v="15"/>
    <s v="GNB"/>
    <s v="Sub-Saharan Africa"/>
    <n v="153"/>
    <n v="80"/>
    <n v="0.8"/>
    <n v="1786457"/>
    <n v="8.5644378789973672"/>
  </r>
  <r>
    <x v="17"/>
    <x v="16"/>
    <s v="GNB"/>
    <s v="Sub-Saharan Africa"/>
    <n v="0"/>
    <n v="80"/>
    <n v="0.8"/>
    <n v="1831893"/>
    <n v="0"/>
  </r>
  <r>
    <x v="17"/>
    <x v="17"/>
    <s v="GNB"/>
    <s v="Sub-Saharan Africa"/>
    <n v="11"/>
    <n v="66"/>
    <n v="0.66"/>
    <n v="1877072"/>
    <n v="0.58601907651917451"/>
  </r>
  <r>
    <x v="17"/>
    <x v="18"/>
    <s v="GNB"/>
    <s v="Sub-Saharan Africa"/>
    <n v="28"/>
    <n v="79"/>
    <n v="0.79"/>
    <n v="1922168"/>
    <n v="1.456688489247558"/>
  </r>
  <r>
    <x v="17"/>
    <x v="19"/>
    <s v="GNB"/>
    <s v="Sub-Saharan Africa"/>
    <n v="60"/>
    <n v="79"/>
    <n v="0.79"/>
    <n v="1967696"/>
    <n v="3.0492515103959148"/>
  </r>
  <r>
    <x v="17"/>
    <x v="20"/>
    <s v="GNB"/>
    <s v="Sub-Saharan Africa"/>
    <n v="22"/>
    <n v="72"/>
    <n v="0.72"/>
    <n v="2013255"/>
    <n v="1.0927577480249644"/>
  </r>
  <r>
    <x v="17"/>
    <x v="21"/>
    <s v="GNB"/>
    <s v="Sub-Saharan Africa"/>
    <m/>
    <n v="63"/>
    <n v="0.63"/>
    <n v="2058841"/>
    <m/>
  </r>
  <r>
    <x v="17"/>
    <x v="22"/>
    <s v="GNB"/>
    <s v="Sub-Saharan Africa"/>
    <n v="213"/>
    <n v="75"/>
    <n v="0.75"/>
    <n v="2105529"/>
    <n v="10.116222573994468"/>
  </r>
  <r>
    <x v="17"/>
    <x v="23"/>
    <s v="GNB"/>
    <s v="Sub-Saharan Africa"/>
    <n v="5"/>
    <n v="72"/>
    <n v="0.72"/>
    <n v="2153339"/>
    <n v="0.23219753136872551"/>
  </r>
  <r>
    <x v="17"/>
    <x v="24"/>
    <s v="GNB"/>
    <s v="Sub-Saharan Africa"/>
    <n v="0"/>
    <n v="65"/>
    <n v="0.65"/>
    <n v="2201352"/>
    <n v="0"/>
  </r>
  <r>
    <x v="18"/>
    <x v="0"/>
    <s v="GNQ"/>
    <s v="Sub-Saharan Africa"/>
    <m/>
    <n v="50"/>
    <n v="0.5"/>
    <n v="703279"/>
    <m/>
  </r>
  <r>
    <x v="18"/>
    <x v="1"/>
    <s v="GNQ"/>
    <s v="Sub-Saharan Africa"/>
    <n v="1339"/>
    <n v="50"/>
    <n v="0.5"/>
    <n v="749836"/>
    <n v="178.57238116068046"/>
  </r>
  <r>
    <x v="18"/>
    <x v="2"/>
    <s v="GNQ"/>
    <s v="Sub-Saharan Africa"/>
    <n v="24"/>
    <n v="49"/>
    <n v="0.49"/>
    <n v="797957"/>
    <n v="3.007680865009017"/>
  </r>
  <r>
    <x v="18"/>
    <x v="3"/>
    <s v="GNQ"/>
    <s v="Sub-Saharan Africa"/>
    <n v="18"/>
    <n v="48"/>
    <n v="0.48"/>
    <n v="847862"/>
    <n v="2.1229869955252152"/>
  </r>
  <r>
    <x v="18"/>
    <x v="4"/>
    <s v="GNQ"/>
    <s v="Sub-Saharan Africa"/>
    <n v="38"/>
    <n v="48"/>
    <n v="0.48"/>
    <n v="899917"/>
    <n v="4.2226116408513237"/>
  </r>
  <r>
    <x v="18"/>
    <x v="5"/>
    <s v="GNQ"/>
    <s v="Sub-Saharan Africa"/>
    <m/>
    <n v="47"/>
    <n v="0.47"/>
    <n v="947367"/>
    <m/>
  </r>
  <r>
    <x v="18"/>
    <x v="6"/>
    <s v="GNQ"/>
    <s v="Sub-Saharan Africa"/>
    <n v="0"/>
    <n v="47"/>
    <n v="0.47"/>
    <n v="990343"/>
    <n v="0"/>
  </r>
  <r>
    <x v="18"/>
    <x v="7"/>
    <s v="GNQ"/>
    <s v="Sub-Saharan Africa"/>
    <n v="5"/>
    <n v="46"/>
    <n v="0.46"/>
    <n v="1036044"/>
    <n v="0.48260498588863027"/>
  </r>
  <r>
    <x v="18"/>
    <x v="8"/>
    <s v="GNQ"/>
    <s v="Sub-Saharan Africa"/>
    <n v="436"/>
    <n v="45"/>
    <n v="0.45"/>
    <n v="1084530"/>
    <n v="40.201746378615617"/>
  </r>
  <r>
    <x v="18"/>
    <x v="9"/>
    <s v="GNQ"/>
    <s v="Sub-Saharan Africa"/>
    <n v="78"/>
    <n v="45"/>
    <n v="0.45"/>
    <n v="1135673"/>
    <n v="6.8681742015527352"/>
  </r>
  <r>
    <x v="18"/>
    <x v="10"/>
    <s v="GNQ"/>
    <s v="Sub-Saharan Africa"/>
    <n v="0"/>
    <n v="44"/>
    <n v="0.44"/>
    <n v="1189085"/>
    <n v="0"/>
  </r>
  <r>
    <x v="18"/>
    <x v="11"/>
    <s v="GNQ"/>
    <s v="Sub-Saharan Africa"/>
    <n v="0"/>
    <n v="46"/>
    <n v="0.46"/>
    <n v="1241835"/>
    <n v="0"/>
  </r>
  <r>
    <x v="18"/>
    <x v="12"/>
    <s v="GNQ"/>
    <s v="Sub-Saharan Africa"/>
    <n v="1190"/>
    <n v="49"/>
    <n v="0.49"/>
    <n v="1293483"/>
    <n v="91.999662925604738"/>
  </r>
  <r>
    <x v="18"/>
    <x v="13"/>
    <s v="GNQ"/>
    <s v="Sub-Saharan Africa"/>
    <n v="321"/>
    <n v="51"/>
    <n v="0.51"/>
    <n v="1346218"/>
    <n v="23.844577921257926"/>
  </r>
  <r>
    <x v="18"/>
    <x v="14"/>
    <s v="GNQ"/>
    <s v="Sub-Saharan Africa"/>
    <n v="13"/>
    <n v="53"/>
    <n v="0.53"/>
    <n v="1399828"/>
    <n v="0.92868552422154727"/>
  </r>
  <r>
    <x v="18"/>
    <x v="15"/>
    <s v="GNQ"/>
    <s v="Sub-Saharan Africa"/>
    <n v="1250"/>
    <n v="50"/>
    <n v="0.5"/>
    <n v="1453923"/>
    <n v="85.974291623421607"/>
  </r>
  <r>
    <x v="18"/>
    <x v="16"/>
    <s v="GNQ"/>
    <s v="Sub-Saharan Africa"/>
    <n v="1699"/>
    <n v="53"/>
    <n v="0.53"/>
    <n v="1508186"/>
    <n v="112.65188776450651"/>
  </r>
  <r>
    <x v="18"/>
    <x v="17"/>
    <s v="GNQ"/>
    <s v="Sub-Saharan Africa"/>
    <n v="1"/>
    <n v="52"/>
    <n v="0.52"/>
    <n v="1562396"/>
    <n v="6.4004260123553827E-2"/>
  </r>
  <r>
    <x v="18"/>
    <x v="18"/>
    <s v="GNQ"/>
    <s v="Sub-Saharan Africa"/>
    <n v="0"/>
    <n v="52"/>
    <n v="0.52"/>
    <n v="1616422"/>
    <n v="0"/>
  </r>
  <r>
    <x v="18"/>
    <x v="19"/>
    <s v="GNQ"/>
    <s v="Sub-Saharan Africa"/>
    <n v="0"/>
    <n v="51"/>
    <n v="0.51"/>
    <n v="1670177"/>
    <n v="0"/>
  </r>
  <r>
    <x v="18"/>
    <x v="20"/>
    <s v="GNQ"/>
    <s v="Sub-Saharan Africa"/>
    <n v="53"/>
    <n v="50"/>
    <n v="0.5"/>
    <n v="1716468"/>
    <n v="3.0877359787656977"/>
  </r>
  <r>
    <x v="18"/>
    <x v="21"/>
    <s v="GNQ"/>
    <s v="Sub-Saharan Africa"/>
    <n v="43"/>
    <n v="50"/>
    <n v="0.5"/>
    <n v="1758786"/>
    <n v="2.4448682216028557"/>
  </r>
  <r>
    <x v="18"/>
    <x v="22"/>
    <s v="GNQ"/>
    <s v="Sub-Saharan Africa"/>
    <n v="49"/>
    <n v="49"/>
    <n v="0.49"/>
    <n v="1803545"/>
    <n v="2.7168714947506158"/>
  </r>
  <r>
    <x v="18"/>
    <x v="23"/>
    <s v="GNQ"/>
    <s v="Sub-Saharan Africa"/>
    <n v="270"/>
    <n v="61"/>
    <n v="0.61"/>
    <n v="1847549"/>
    <n v="14.613956111583507"/>
  </r>
  <r>
    <x v="18"/>
    <x v="24"/>
    <s v="GNQ"/>
    <s v="Sub-Saharan Africa"/>
    <n v="463"/>
    <n v="53"/>
    <n v="0.53"/>
    <n v="1892516"/>
    <n v="24.464786559268191"/>
  </r>
  <r>
    <x v="19"/>
    <x v="0"/>
    <s v="KEN"/>
    <s v="Sub-Saharan Africa"/>
    <n v="21002"/>
    <n v="78"/>
    <n v="0.78"/>
    <n v="30642890"/>
    <n v="68.537921847449766"/>
  </r>
  <r>
    <x v="19"/>
    <x v="1"/>
    <s v="KEN"/>
    <s v="Sub-Saharan Africa"/>
    <n v="11304"/>
    <n v="77"/>
    <n v="0.77"/>
    <n v="31619170"/>
    <n v="35.750464038113591"/>
  </r>
  <r>
    <x v="19"/>
    <x v="2"/>
    <s v="KEN"/>
    <s v="Sub-Saharan Africa"/>
    <n v="766"/>
    <n v="78"/>
    <n v="0.78"/>
    <n v="32629808"/>
    <n v="2.3475467584731113"/>
  </r>
  <r>
    <x v="19"/>
    <x v="3"/>
    <s v="KEN"/>
    <s v="Sub-Saharan Africa"/>
    <n v="65"/>
    <n v="72"/>
    <n v="0.72"/>
    <n v="33652223"/>
    <n v="0.19315217303772175"/>
  </r>
  <r>
    <x v="19"/>
    <x v="4"/>
    <s v="KEN"/>
    <s v="Sub-Saharan Africa"/>
    <n v="20"/>
    <n v="73"/>
    <n v="0.73"/>
    <n v="34713455"/>
    <n v="5.7614547442771107E-2"/>
  </r>
  <r>
    <x v="19"/>
    <x v="5"/>
    <s v="KEN"/>
    <s v="Sub-Saharan Africa"/>
    <n v="153"/>
    <n v="69"/>
    <n v="0.69"/>
    <n v="35796484"/>
    <n v="0.42741627920775682"/>
  </r>
  <r>
    <x v="19"/>
    <x v="6"/>
    <s v="KEN"/>
    <s v="Sub-Saharan Africa"/>
    <n v="1847"/>
    <n v="77"/>
    <n v="0.77"/>
    <n v="36904008"/>
    <n v="5.0048764351015746"/>
  </r>
  <r>
    <x v="19"/>
    <x v="7"/>
    <s v="KEN"/>
    <s v="Sub-Saharan Africa"/>
    <n v="1516"/>
    <n v="80"/>
    <n v="0.8"/>
    <n v="38036349"/>
    <n v="3.9856611895111174"/>
  </r>
  <r>
    <x v="19"/>
    <x v="8"/>
    <s v="KEN"/>
    <s v="Sub-Saharan Africa"/>
    <n v="1282"/>
    <n v="90"/>
    <n v="0.9"/>
    <n v="39206351"/>
    <n v="3.2698783929164947"/>
  </r>
  <r>
    <x v="19"/>
    <x v="9"/>
    <s v="KEN"/>
    <s v="Sub-Saharan Africa"/>
    <n v="1218"/>
    <n v="88"/>
    <n v="0.88"/>
    <n v="40408891"/>
    <n v="3.014188139931878"/>
  </r>
  <r>
    <x v="19"/>
    <x v="10"/>
    <s v="KEN"/>
    <s v="Sub-Saharan Africa"/>
    <n v="95"/>
    <n v="86"/>
    <n v="0.86"/>
    <n v="41598567"/>
    <n v="0.22837325141512688"/>
  </r>
  <r>
    <x v="19"/>
    <x v="11"/>
    <s v="KEN"/>
    <s v="Sub-Saharan Africa"/>
    <n v="2395"/>
    <n v="87"/>
    <n v="0.87"/>
    <n v="42758461"/>
    <n v="5.6012305962087829"/>
  </r>
  <r>
    <x v="19"/>
    <x v="12"/>
    <s v="KEN"/>
    <s v="Sub-Saharan Africa"/>
    <m/>
    <n v="93"/>
    <n v="0.93"/>
    <n v="43888303"/>
    <m/>
  </r>
  <r>
    <x v="19"/>
    <x v="13"/>
    <s v="KEN"/>
    <s v="Sub-Saharan Africa"/>
    <n v="190"/>
    <n v="94"/>
    <n v="0.94"/>
    <n v="44986791"/>
    <n v="0.4223461949086344"/>
  </r>
  <r>
    <x v="19"/>
    <x v="14"/>
    <s v="KEN"/>
    <s v="Sub-Saharan Africa"/>
    <n v="354"/>
    <n v="95"/>
    <n v="0.95"/>
    <n v="46051440"/>
    <n v="0.76870560399414234"/>
  </r>
  <r>
    <x v="19"/>
    <x v="15"/>
    <s v="KEN"/>
    <s v="Sub-Saharan Africa"/>
    <n v="95"/>
    <n v="96"/>
    <n v="0.96"/>
    <n v="47088526"/>
    <n v="0.20174766141543696"/>
  </r>
  <r>
    <x v="19"/>
    <x v="16"/>
    <s v="KEN"/>
    <s v="Sub-Saharan Africa"/>
    <n v="128"/>
    <n v="93"/>
    <n v="0.93"/>
    <n v="48139687"/>
    <n v="0.26589287961095387"/>
  </r>
  <r>
    <x v="19"/>
    <x v="17"/>
    <s v="KEN"/>
    <s v="Sub-Saharan Africa"/>
    <n v="63"/>
    <n v="84"/>
    <n v="0.84"/>
    <n v="49197766"/>
    <n v="0.12805459499929325"/>
  </r>
  <r>
    <x v="19"/>
    <x v="18"/>
    <s v="KEN"/>
    <s v="Sub-Saharan Africa"/>
    <n v="822"/>
    <n v="92"/>
    <n v="0.92"/>
    <n v="50207107"/>
    <n v="1.6372184121263949"/>
  </r>
  <r>
    <x v="19"/>
    <x v="19"/>
    <s v="KEN"/>
    <s v="Sub-Saharan Africa"/>
    <n v="439"/>
    <n v="92"/>
    <n v="0.92"/>
    <n v="51202827"/>
    <n v="0.85737453519900375"/>
  </r>
  <r>
    <x v="19"/>
    <x v="20"/>
    <s v="KEN"/>
    <s v="Sub-Saharan Africa"/>
    <n v="597"/>
    <n v="89"/>
    <n v="0.89"/>
    <n v="52217334"/>
    <n v="1.1432985069670543"/>
  </r>
  <r>
    <x v="19"/>
    <x v="21"/>
    <s v="KEN"/>
    <s v="Sub-Saharan Africa"/>
    <n v="266"/>
    <n v="90"/>
    <n v="0.9"/>
    <n v="53219166"/>
    <n v="0.49981993329245333"/>
  </r>
  <r>
    <x v="19"/>
    <x v="22"/>
    <s v="KEN"/>
    <s v="Sub-Saharan Africa"/>
    <n v="1774"/>
    <n v="89"/>
    <n v="0.89"/>
    <n v="54252461"/>
    <n v="3.269897747127084"/>
  </r>
  <r>
    <x v="19"/>
    <x v="23"/>
    <s v="KEN"/>
    <s v="Sub-Saharan Africa"/>
    <n v="896"/>
    <n v="91"/>
    <n v="0.91"/>
    <n v="55339003"/>
    <n v="1.6191112080570009"/>
  </r>
  <r>
    <x v="19"/>
    <x v="24"/>
    <s v="KEN"/>
    <s v="Sub-Saharan Africa"/>
    <n v="1417"/>
    <n v="88"/>
    <n v="0.88"/>
    <n v="56432944"/>
    <n v="2.5109446709000331"/>
  </r>
  <r>
    <x v="20"/>
    <x v="0"/>
    <s v="LBR"/>
    <s v="Sub-Saharan Africa"/>
    <n v="5977"/>
    <n v="63"/>
    <n v="0.63"/>
    <n v="2928117"/>
    <n v="204.12435705267242"/>
  </r>
  <r>
    <x v="20"/>
    <x v="1"/>
    <s v="LBR"/>
    <s v="Sub-Saharan Africa"/>
    <n v="1379"/>
    <n v="57.999999999999993"/>
    <n v="0.57999999999999996"/>
    <n v="3015338"/>
    <n v="45.732849849668597"/>
  </r>
  <r>
    <x v="20"/>
    <x v="2"/>
    <s v="LBR"/>
    <s v="Sub-Saharan Africa"/>
    <n v="131"/>
    <n v="52"/>
    <n v="0.52"/>
    <n v="3094782"/>
    <n v="4.2329314310345607"/>
  </r>
  <r>
    <x v="20"/>
    <x v="3"/>
    <s v="LBR"/>
    <s v="Sub-Saharan Africa"/>
    <n v="142"/>
    <n v="47"/>
    <n v="0.47"/>
    <n v="3119532"/>
    <n v="4.5519648460089526"/>
  </r>
  <r>
    <x v="20"/>
    <x v="4"/>
    <s v="LBR"/>
    <s v="Sub-Saharan Africa"/>
    <n v="4"/>
    <n v="41"/>
    <n v="0.41"/>
    <n v="3156892"/>
    <n v="0.12670690033108514"/>
  </r>
  <r>
    <x v="20"/>
    <x v="5"/>
    <s v="LBR"/>
    <s v="Sub-Saharan Africa"/>
    <n v="8"/>
    <n v="62"/>
    <n v="0.62"/>
    <n v="3301015"/>
    <n v="0.24234970153119573"/>
  </r>
  <r>
    <x v="20"/>
    <x v="6"/>
    <s v="LBR"/>
    <s v="Sub-Saharan Africa"/>
    <n v="20"/>
    <n v="63"/>
    <n v="0.63"/>
    <n v="3490787"/>
    <n v="0.57293670453109857"/>
  </r>
  <r>
    <x v="20"/>
    <x v="7"/>
    <s v="LBR"/>
    <s v="Sub-Saharan Africa"/>
    <n v="1"/>
    <n v="71"/>
    <n v="0.71"/>
    <n v="3669050"/>
    <n v="2.7255011515242365E-2"/>
  </r>
  <r>
    <x v="20"/>
    <x v="8"/>
    <s v="LBR"/>
    <s v="Sub-Saharan Africa"/>
    <n v="1"/>
    <n v="76"/>
    <n v="0.76"/>
    <n v="3821003"/>
    <n v="2.6171138834489269E-2"/>
  </r>
  <r>
    <x v="20"/>
    <x v="9"/>
    <s v="LBR"/>
    <s v="Sub-Saharan Africa"/>
    <n v="6"/>
    <n v="83"/>
    <n v="0.83"/>
    <n v="3943028"/>
    <n v="0.15216731912631612"/>
  </r>
  <r>
    <x v="20"/>
    <x v="10"/>
    <s v="LBR"/>
    <s v="Sub-Saharan Africa"/>
    <n v="2200"/>
    <n v="65"/>
    <n v="0.65"/>
    <n v="4058890"/>
    <n v="54.202010894604193"/>
  </r>
  <r>
    <x v="20"/>
    <x v="11"/>
    <s v="LBR"/>
    <s v="Sub-Saharan Africa"/>
    <n v="279"/>
    <n v="71"/>
    <n v="0.71"/>
    <n v="4221178"/>
    <n v="6.6095293778182294"/>
  </r>
  <r>
    <x v="20"/>
    <x v="12"/>
    <s v="LBR"/>
    <s v="Sub-Saharan Africa"/>
    <n v="43"/>
    <n v="80"/>
    <n v="0.8"/>
    <n v="4373043"/>
    <n v="0.98329698564592205"/>
  </r>
  <r>
    <x v="20"/>
    <x v="13"/>
    <s v="LBR"/>
    <s v="Sub-Saharan Africa"/>
    <n v="0"/>
    <n v="74"/>
    <n v="0.74"/>
    <n v="4470239"/>
    <n v="0"/>
  </r>
  <r>
    <x v="20"/>
    <x v="14"/>
    <s v="LBR"/>
    <s v="Sub-Saharan Africa"/>
    <n v="34"/>
    <n v="57.999999999999993"/>
    <n v="0.57999999999999996"/>
    <n v="4564293"/>
    <n v="0.7449127389499316"/>
  </r>
  <r>
    <x v="20"/>
    <x v="15"/>
    <s v="LBR"/>
    <s v="Sub-Saharan Africa"/>
    <n v="1060"/>
    <n v="64"/>
    <n v="0.64"/>
    <n v="4659431"/>
    <n v="22.749558905368488"/>
  </r>
  <r>
    <x v="20"/>
    <x v="16"/>
    <s v="LBR"/>
    <s v="Sub-Saharan Africa"/>
    <n v="789"/>
    <n v="70"/>
    <n v="0.7"/>
    <n v="4755608"/>
    <n v="16.590938529836773"/>
  </r>
  <r>
    <x v="20"/>
    <x v="17"/>
    <s v="LBR"/>
    <s v="Sub-Saharan Africa"/>
    <n v="960"/>
    <n v="75"/>
    <n v="0.75"/>
    <n v="4848925"/>
    <n v="19.79820269441165"/>
  </r>
  <r>
    <x v="20"/>
    <x v="18"/>
    <s v="LBR"/>
    <s v="Sub-Saharan Africa"/>
    <n v="3781"/>
    <n v="74"/>
    <n v="0.74"/>
    <n v="4944726"/>
    <n v="76.465308694556583"/>
  </r>
  <r>
    <x v="20"/>
    <x v="19"/>
    <s v="LBR"/>
    <s v="Sub-Saharan Africa"/>
    <n v="1203"/>
    <n v="68"/>
    <n v="0.68"/>
    <n v="5043721"/>
    <n v="23.851438253622675"/>
  </r>
  <r>
    <x v="20"/>
    <x v="20"/>
    <s v="LBR"/>
    <s v="Sub-Saharan Africa"/>
    <n v="884"/>
    <n v="61"/>
    <n v="0.61"/>
    <n v="5149463"/>
    <n v="17.166838561613122"/>
  </r>
  <r>
    <x v="20"/>
    <x v="21"/>
    <s v="LBR"/>
    <s v="Sub-Saharan Africa"/>
    <n v="250"/>
    <n v="57.999999999999993"/>
    <n v="0.57999999999999996"/>
    <n v="5259323"/>
    <n v="4.7534635161217516"/>
  </r>
  <r>
    <x v="20"/>
    <x v="22"/>
    <s v="LBR"/>
    <s v="Sub-Saharan Africa"/>
    <n v="8300"/>
    <n v="79"/>
    <n v="0.79"/>
    <n v="5373294"/>
    <n v="154.4676319590925"/>
  </r>
  <r>
    <x v="20"/>
    <x v="23"/>
    <s v="LBR"/>
    <s v="Sub-Saharan Africa"/>
    <n v="4604"/>
    <n v="82"/>
    <n v="0.82"/>
    <n v="5493031"/>
    <n v="83.815292504265855"/>
  </r>
  <r>
    <x v="20"/>
    <x v="24"/>
    <s v="LBR"/>
    <s v="Sub-Saharan Africa"/>
    <n v="1053"/>
    <n v="82"/>
    <n v="0.82"/>
    <n v="5612817"/>
    <n v="18.760633029724648"/>
  </r>
  <r>
    <x v="21"/>
    <x v="0"/>
    <s v="LSO"/>
    <s v="Sub-Saharan Africa"/>
    <n v="660"/>
    <n v="74"/>
    <n v="0.74"/>
    <n v="2003913"/>
    <n v="32.935561573780895"/>
  </r>
  <r>
    <x v="21"/>
    <x v="1"/>
    <s v="LSO"/>
    <s v="Sub-Saharan Africa"/>
    <n v="217"/>
    <n v="70"/>
    <n v="0.7"/>
    <n v="2000853"/>
    <n v="10.845374447798015"/>
  </r>
  <r>
    <x v="21"/>
    <x v="2"/>
    <s v="LSO"/>
    <s v="Sub-Saharan Africa"/>
    <n v="0"/>
    <n v="78"/>
    <n v="0.78"/>
    <n v="1994679"/>
    <n v="0"/>
  </r>
  <r>
    <x v="21"/>
    <x v="3"/>
    <s v="LSO"/>
    <s v="Sub-Saharan Africa"/>
    <n v="1"/>
    <n v="85"/>
    <n v="0.85"/>
    <n v="1985059"/>
    <n v="5.0376336421234832E-2"/>
  </r>
  <r>
    <x v="21"/>
    <x v="4"/>
    <s v="LSO"/>
    <s v="Sub-Saharan Africa"/>
    <n v="31"/>
    <n v="84"/>
    <n v="0.84"/>
    <n v="1971129"/>
    <n v="1.5727027505556461"/>
  </r>
  <r>
    <x v="21"/>
    <x v="5"/>
    <s v="LSO"/>
    <s v="Sub-Saharan Africa"/>
    <m/>
    <n v="83"/>
    <n v="0.83"/>
    <n v="1953076"/>
    <m/>
  </r>
  <r>
    <x v="21"/>
    <x v="6"/>
    <s v="LSO"/>
    <s v="Sub-Saharan Africa"/>
    <n v="1"/>
    <n v="82"/>
    <n v="0.82"/>
    <n v="1945063"/>
    <n v="5.1412216468052704E-2"/>
  </r>
  <r>
    <x v="21"/>
    <x v="7"/>
    <s v="LSO"/>
    <s v="Sub-Saharan Africa"/>
    <n v="2"/>
    <n v="81"/>
    <n v="0.81"/>
    <n v="1953268"/>
    <n v="0.10239250323048346"/>
  </r>
  <r>
    <x v="21"/>
    <x v="8"/>
    <s v="LSO"/>
    <s v="Sub-Saharan Africa"/>
    <n v="0"/>
    <n v="80"/>
    <n v="0.8"/>
    <n v="1966541"/>
    <n v="0"/>
  </r>
  <r>
    <x v="21"/>
    <x v="9"/>
    <s v="LSO"/>
    <s v="Sub-Saharan Africa"/>
    <n v="0"/>
    <n v="84"/>
    <n v="0.84"/>
    <n v="1980883"/>
    <n v="0"/>
  </r>
  <r>
    <x v="21"/>
    <x v="10"/>
    <s v="LSO"/>
    <s v="Sub-Saharan Africa"/>
    <n v="2488"/>
    <n v="88"/>
    <n v="0.88"/>
    <n v="1996251"/>
    <n v="124.63362573143357"/>
  </r>
  <r>
    <x v="21"/>
    <x v="11"/>
    <s v="LSO"/>
    <s v="Sub-Saharan Africa"/>
    <n v="172"/>
    <n v="92"/>
    <n v="0.92"/>
    <n v="2014009"/>
    <n v="8.5401803070393427"/>
  </r>
  <r>
    <x v="21"/>
    <x v="12"/>
    <s v="LSO"/>
    <s v="Sub-Saharan Africa"/>
    <n v="179"/>
    <n v="91"/>
    <n v="0.91"/>
    <n v="2034354"/>
    <n v="8.7988619483138137"/>
  </r>
  <r>
    <x v="21"/>
    <x v="13"/>
    <s v="LSO"/>
    <s v="Sub-Saharan Africa"/>
    <n v="516"/>
    <n v="90"/>
    <n v="0.9"/>
    <n v="2056504"/>
    <n v="25.09112552175926"/>
  </r>
  <r>
    <x v="21"/>
    <x v="14"/>
    <s v="LSO"/>
    <s v="Sub-Saharan Africa"/>
    <n v="0"/>
    <n v="92"/>
    <n v="0.92"/>
    <n v="2080089"/>
    <n v="0"/>
  </r>
  <r>
    <x v="21"/>
    <x v="15"/>
    <s v="LSO"/>
    <s v="Sub-Saharan Africa"/>
    <n v="0"/>
    <n v="93"/>
    <n v="0.93"/>
    <n v="2104611"/>
    <n v="0"/>
  </r>
  <r>
    <x v="21"/>
    <x v="16"/>
    <s v="LSO"/>
    <s v="Sub-Saharan Africa"/>
    <n v="0"/>
    <n v="90"/>
    <n v="0.9"/>
    <n v="2130422"/>
    <n v="0"/>
  </r>
  <r>
    <x v="21"/>
    <x v="17"/>
    <s v="LSO"/>
    <s v="Sub-Saharan Africa"/>
    <n v="0"/>
    <n v="89"/>
    <n v="0.89"/>
    <n v="2157110"/>
    <n v="0"/>
  </r>
  <r>
    <x v="21"/>
    <x v="18"/>
    <s v="LSO"/>
    <s v="Sub-Saharan Africa"/>
    <n v="7"/>
    <n v="89"/>
    <n v="0.89"/>
    <n v="2183603"/>
    <n v="0.32057109282227586"/>
  </r>
  <r>
    <x v="21"/>
    <x v="19"/>
    <s v="LSO"/>
    <s v="Sub-Saharan Africa"/>
    <n v="464"/>
    <n v="90"/>
    <n v="0.9"/>
    <n v="2209405"/>
    <n v="21.001129263308449"/>
  </r>
  <r>
    <x v="21"/>
    <x v="20"/>
    <s v="LSO"/>
    <s v="Sub-Saharan Africa"/>
    <n v="39"/>
    <n v="90"/>
    <n v="0.9"/>
    <n v="2235727"/>
    <n v="1.7443990254624111"/>
  </r>
  <r>
    <x v="21"/>
    <x v="21"/>
    <s v="LSO"/>
    <s v="Sub-Saharan Africa"/>
    <n v="368"/>
    <n v="90"/>
    <n v="0.9"/>
    <n v="2261542"/>
    <n v="16.272083383815112"/>
  </r>
  <r>
    <x v="21"/>
    <x v="22"/>
    <s v="LSO"/>
    <s v="Sub-Saharan Africa"/>
    <n v="3"/>
    <n v="84"/>
    <n v="0.84"/>
    <n v="2286110"/>
    <n v="0.13122728127692893"/>
  </r>
  <r>
    <x v="21"/>
    <x v="23"/>
    <s v="LSO"/>
    <s v="Sub-Saharan Africa"/>
    <n v="17"/>
    <n v="76"/>
    <n v="0.76"/>
    <n v="2311472"/>
    <n v="0.73546207784476736"/>
  </r>
  <r>
    <x v="21"/>
    <x v="24"/>
    <s v="LSO"/>
    <s v="Sub-Saharan Africa"/>
    <n v="2"/>
    <n v="90"/>
    <n v="0.9"/>
    <n v="2337423"/>
    <n v="8.5564315915433356E-2"/>
  </r>
  <r>
    <x v="22"/>
    <x v="0"/>
    <s v="MDG"/>
    <s v="Sub-Saharan Africa"/>
    <n v="35256"/>
    <n v="56.999999999999993"/>
    <n v="0.56999999999999995"/>
    <n v="16516338"/>
    <n v="213.46136171347428"/>
  </r>
  <r>
    <x v="22"/>
    <x v="1"/>
    <s v="MDG"/>
    <s v="Sub-Saharan Africa"/>
    <n v="9357"/>
    <n v="59"/>
    <n v="0.59"/>
    <n v="17032939"/>
    <n v="54.934735573232551"/>
  </r>
  <r>
    <x v="22"/>
    <x v="2"/>
    <s v="MDG"/>
    <s v="Sub-Saharan Africa"/>
    <n v="10795"/>
    <n v="61"/>
    <n v="0.61"/>
    <n v="17549913"/>
    <n v="61.510276432709375"/>
  </r>
  <r>
    <x v="22"/>
    <x v="3"/>
    <s v="MDG"/>
    <s v="Sub-Saharan Africa"/>
    <n v="62233"/>
    <n v="65"/>
    <n v="0.65"/>
    <n v="18071854"/>
    <n v="344.364225164723"/>
  </r>
  <r>
    <x v="22"/>
    <x v="4"/>
    <s v="MDG"/>
    <s v="Sub-Saharan Africa"/>
    <n v="35558"/>
    <n v="79"/>
    <n v="0.79"/>
    <n v="18606608"/>
    <n v="191.10414966553819"/>
  </r>
  <r>
    <x v="22"/>
    <x v="5"/>
    <s v="MDG"/>
    <s v="Sub-Saharan Africa"/>
    <m/>
    <n v="74"/>
    <n v="0.74"/>
    <n v="19159707"/>
    <m/>
  </r>
  <r>
    <x v="22"/>
    <x v="6"/>
    <s v="MDG"/>
    <s v="Sub-Saharan Africa"/>
    <n v="2"/>
    <n v="71"/>
    <n v="0.71"/>
    <n v="19730909"/>
    <n v="1.0136380437414211E-2"/>
  </r>
  <r>
    <x v="22"/>
    <x v="7"/>
    <s v="MDG"/>
    <s v="Sub-Saharan Africa"/>
    <n v="0"/>
    <n v="81"/>
    <n v="0.81"/>
    <n v="20318583"/>
    <n v="0"/>
  </r>
  <r>
    <x v="22"/>
    <x v="8"/>
    <s v="MDG"/>
    <s v="Sub-Saharan Africa"/>
    <n v="3"/>
    <n v="70"/>
    <n v="0.7"/>
    <n v="20923840"/>
    <n v="1.433771238931286E-2"/>
  </r>
  <r>
    <x v="22"/>
    <x v="9"/>
    <s v="MDG"/>
    <s v="Sub-Saharan Africa"/>
    <n v="0"/>
    <n v="63"/>
    <n v="0.63"/>
    <n v="21547280"/>
    <n v="0"/>
  </r>
  <r>
    <x v="22"/>
    <x v="10"/>
    <s v="MDG"/>
    <s v="Sub-Saharan Africa"/>
    <n v="1"/>
    <n v="66"/>
    <n v="0.66"/>
    <n v="22183340"/>
    <n v="4.5078874506724416E-3"/>
  </r>
  <r>
    <x v="22"/>
    <x v="11"/>
    <s v="MDG"/>
    <s v="Sub-Saharan Africa"/>
    <n v="0"/>
    <n v="62"/>
    <n v="0.62"/>
    <n v="22822300"/>
    <n v="0"/>
  </r>
  <r>
    <x v="22"/>
    <x v="12"/>
    <s v="MDG"/>
    <s v="Sub-Saharan Africa"/>
    <n v="2"/>
    <n v="63"/>
    <n v="0.63"/>
    <n v="23462438"/>
    <n v="8.5242633352936303E-3"/>
  </r>
  <r>
    <x v="22"/>
    <x v="13"/>
    <s v="MDG"/>
    <s v="Sub-Saharan Africa"/>
    <n v="6"/>
    <n v="64"/>
    <n v="0.64"/>
    <n v="24109290"/>
    <n v="2.4886672315941282E-2"/>
  </r>
  <r>
    <x v="22"/>
    <x v="14"/>
    <s v="MDG"/>
    <s v="Sub-Saharan Africa"/>
    <n v="3"/>
    <n v="66"/>
    <n v="0.66"/>
    <n v="24764348"/>
    <n v="1.2114189317643251E-2"/>
  </r>
  <r>
    <x v="22"/>
    <x v="15"/>
    <s v="MDG"/>
    <s v="Sub-Saharan Africa"/>
    <n v="3"/>
    <n v="60"/>
    <n v="0.6"/>
    <n v="25426702"/>
    <n v="1.1798620206427086E-2"/>
  </r>
  <r>
    <x v="22"/>
    <x v="16"/>
    <s v="MDG"/>
    <s v="Sub-Saharan Africa"/>
    <n v="5"/>
    <n v="62"/>
    <n v="0.62"/>
    <n v="26099952"/>
    <n v="1.915712335409659E-2"/>
  </r>
  <r>
    <x v="22"/>
    <x v="17"/>
    <s v="MDG"/>
    <s v="Sub-Saharan Africa"/>
    <n v="11"/>
    <n v="55.000000000000007"/>
    <n v="0.55000000000000004"/>
    <n v="26788375"/>
    <n v="4.1062587782946892E-2"/>
  </r>
  <r>
    <x v="22"/>
    <x v="18"/>
    <s v="MDG"/>
    <s v="Sub-Saharan Africa"/>
    <n v="21420"/>
    <n v="68"/>
    <n v="0.68"/>
    <n v="27494926"/>
    <n v="77.905283323912201"/>
  </r>
  <r>
    <x v="22"/>
    <x v="19"/>
    <s v="MDG"/>
    <s v="Sub-Saharan Africa"/>
    <n v="213231"/>
    <n v="60"/>
    <n v="0.6"/>
    <n v="28219554"/>
    <n v="755.6143516655153"/>
  </r>
  <r>
    <x v="22"/>
    <x v="20"/>
    <s v="MDG"/>
    <s v="Sub-Saharan Africa"/>
    <n v="777"/>
    <n v="55.000000000000007"/>
    <n v="0.55000000000000004"/>
    <n v="28953556"/>
    <n v="2.6836081896123574"/>
  </r>
  <r>
    <x v="22"/>
    <x v="21"/>
    <s v="MDG"/>
    <s v="Sub-Saharan Africa"/>
    <n v="44"/>
    <n v="43"/>
    <n v="0.43"/>
    <n v="29691083"/>
    <n v="0.14819264086796699"/>
  </r>
  <r>
    <x v="22"/>
    <x v="22"/>
    <s v="MDG"/>
    <s v="Sub-Saharan Africa"/>
    <n v="80"/>
    <n v="44"/>
    <n v="0.44"/>
    <n v="30437261"/>
    <n v="0.26283573939192495"/>
  </r>
  <r>
    <x v="22"/>
    <x v="23"/>
    <s v="MDG"/>
    <s v="Sub-Saharan Africa"/>
    <n v="355"/>
    <n v="51"/>
    <n v="0.51"/>
    <n v="31195932"/>
    <n v="1.1379688864560931"/>
  </r>
  <r>
    <x v="22"/>
    <x v="24"/>
    <s v="MDG"/>
    <s v="Sub-Saharan Africa"/>
    <n v="104"/>
    <n v="46"/>
    <n v="0.46"/>
    <n v="31964956"/>
    <n v="0.32535630582441594"/>
  </r>
  <r>
    <x v="23"/>
    <x v="0"/>
    <s v="MLI"/>
    <s v="Sub-Saharan Africa"/>
    <n v="1578"/>
    <n v="49"/>
    <n v="0.49"/>
    <n v="11559290"/>
    <n v="13.651357479568381"/>
  </r>
  <r>
    <x v="23"/>
    <x v="1"/>
    <s v="MLI"/>
    <s v="Sub-Saharan Africa"/>
    <n v="4464"/>
    <n v="54"/>
    <n v="0.54"/>
    <n v="11912158"/>
    <n v="37.474318255348862"/>
  </r>
  <r>
    <x v="23"/>
    <x v="2"/>
    <s v="MLI"/>
    <s v="Sub-Saharan Africa"/>
    <n v="717"/>
    <n v="56.000000000000007"/>
    <n v="0.56000000000000005"/>
    <n v="12288050"/>
    <n v="5.8349371950797728"/>
  </r>
  <r>
    <x v="23"/>
    <x v="3"/>
    <s v="MLI"/>
    <s v="Sub-Saharan Africa"/>
    <n v="232"/>
    <n v="56.999999999999993"/>
    <n v="0.56999999999999995"/>
    <n v="12684955"/>
    <n v="1.8289382973766954"/>
  </r>
  <r>
    <x v="23"/>
    <x v="4"/>
    <s v="MLI"/>
    <s v="Sub-Saharan Africa"/>
    <n v="172"/>
    <n v="63"/>
    <n v="0.63"/>
    <n v="13102409"/>
    <n v="1.312735696160912"/>
  </r>
  <r>
    <x v="23"/>
    <x v="5"/>
    <s v="MLI"/>
    <s v="Sub-Saharan Africa"/>
    <n v="33"/>
    <n v="73"/>
    <n v="0.73"/>
    <n v="13538647"/>
    <n v="0.24374666094772987"/>
  </r>
  <r>
    <x v="23"/>
    <x v="6"/>
    <s v="MLI"/>
    <s v="Sub-Saharan Africa"/>
    <n v="128"/>
    <n v="68"/>
    <n v="0.68"/>
    <n v="13990139"/>
    <n v="0.91493015187340176"/>
  </r>
  <r>
    <x v="23"/>
    <x v="7"/>
    <s v="MLI"/>
    <s v="Sub-Saharan Africa"/>
    <n v="2"/>
    <n v="66"/>
    <n v="0.66"/>
    <n v="14457775"/>
    <n v="1.3833387225904402E-2"/>
  </r>
  <r>
    <x v="23"/>
    <x v="8"/>
    <s v="MLI"/>
    <s v="Sub-Saharan Africa"/>
    <n v="98"/>
    <n v="71"/>
    <n v="0.71"/>
    <n v="14940782"/>
    <n v="0.655922829206664"/>
  </r>
  <r>
    <x v="23"/>
    <x v="9"/>
    <s v="MLI"/>
    <s v="Sub-Saharan Africa"/>
    <n v="2939"/>
    <n v="73"/>
    <n v="0.73"/>
    <n v="15435539"/>
    <n v="19.040475360141293"/>
  </r>
  <r>
    <x v="23"/>
    <x v="10"/>
    <s v="MLI"/>
    <s v="Sub-Saharan Africa"/>
    <n v="1719"/>
    <n v="78"/>
    <n v="0.78"/>
    <n v="15945198"/>
    <n v="10.780675160007419"/>
  </r>
  <r>
    <x v="23"/>
    <x v="11"/>
    <s v="MLI"/>
    <s v="Sub-Saharan Africa"/>
    <n v="24"/>
    <n v="72"/>
    <n v="0.72"/>
    <n v="16469049"/>
    <n v="0.14572790450741874"/>
  </r>
  <r>
    <x v="23"/>
    <x v="12"/>
    <s v="MLI"/>
    <s v="Sub-Saharan Africa"/>
    <n v="341"/>
    <n v="67"/>
    <n v="0.67"/>
    <n v="16957033"/>
    <n v="2.0109650078524939"/>
  </r>
  <r>
    <x v="23"/>
    <x v="13"/>
    <s v="MLI"/>
    <s v="Sub-Saharan Africa"/>
    <n v="221"/>
    <n v="62"/>
    <n v="0.62"/>
    <n v="17459615"/>
    <n v="1.2657781972855644"/>
  </r>
  <r>
    <x v="23"/>
    <x v="14"/>
    <s v="MLI"/>
    <s v="Sub-Saharan Africa"/>
    <n v="290"/>
    <n v="65"/>
    <n v="0.65"/>
    <n v="18020267"/>
    <n v="1.60929912969658"/>
  </r>
  <r>
    <x v="23"/>
    <x v="15"/>
    <s v="MLI"/>
    <s v="Sub-Saharan Africa"/>
    <n v="215"/>
    <n v="67"/>
    <n v="0.67"/>
    <n v="18593022"/>
    <n v="1.1563477954256172"/>
  </r>
  <r>
    <x v="23"/>
    <x v="16"/>
    <s v="MLI"/>
    <s v="Sub-Saharan Africa"/>
    <n v="107"/>
    <n v="70"/>
    <n v="0.7"/>
    <n v="19191289"/>
    <n v="0.5575446235007977"/>
  </r>
  <r>
    <x v="23"/>
    <x v="17"/>
    <s v="MLI"/>
    <s v="Sub-Saharan Africa"/>
    <n v="26"/>
    <n v="70"/>
    <n v="0.7"/>
    <n v="19813011"/>
    <n v="0.13122689933397808"/>
  </r>
  <r>
    <x v="23"/>
    <x v="18"/>
    <s v="MLI"/>
    <s v="Sub-Saharan Africa"/>
    <n v="499"/>
    <n v="71"/>
    <n v="0.71"/>
    <n v="20442030"/>
    <n v="2.4410491521634592"/>
  </r>
  <r>
    <x v="23"/>
    <x v="19"/>
    <s v="MLI"/>
    <s v="Sub-Saharan Africa"/>
    <n v="454"/>
    <n v="71"/>
    <n v="0.71"/>
    <n v="21068405"/>
    <n v="2.1548854789909342"/>
  </r>
  <r>
    <x v="23"/>
    <x v="20"/>
    <s v="MLI"/>
    <s v="Sub-Saharan Africa"/>
    <n v="498"/>
    <n v="62"/>
    <n v="0.62"/>
    <n v="21713836"/>
    <n v="2.2934685515723707"/>
  </r>
  <r>
    <x v="23"/>
    <x v="21"/>
    <s v="MLI"/>
    <s v="Sub-Saharan Africa"/>
    <n v="2074"/>
    <n v="72"/>
    <n v="0.72"/>
    <n v="22388630"/>
    <n v="9.2636306911141961"/>
  </r>
  <r>
    <x v="23"/>
    <x v="22"/>
    <s v="MLI"/>
    <s v="Sub-Saharan Africa"/>
    <n v="765"/>
    <n v="69"/>
    <n v="0.69"/>
    <n v="23072640"/>
    <n v="3.3156153782141966"/>
  </r>
  <r>
    <x v="23"/>
    <x v="23"/>
    <s v="MLI"/>
    <s v="Sub-Saharan Africa"/>
    <n v="364"/>
    <n v="68"/>
    <n v="0.68"/>
    <n v="23769127"/>
    <n v="1.5313982713795085"/>
  </r>
  <r>
    <x v="23"/>
    <x v="24"/>
    <s v="MLI"/>
    <s v="Sub-Saharan Africa"/>
    <n v="368"/>
    <n v="72"/>
    <n v="0.72"/>
    <n v="24478595"/>
    <n v="1.5033542570560114"/>
  </r>
  <r>
    <x v="24"/>
    <x v="0"/>
    <s v="MOZ"/>
    <s v="Sub-Saharan Africa"/>
    <n v="7375"/>
    <n v="71"/>
    <n v="0.71"/>
    <n v="18129653"/>
    <n v="40.67921211729756"/>
  </r>
  <r>
    <x v="24"/>
    <x v="1"/>
    <s v="MOZ"/>
    <s v="Sub-Saharan Africa"/>
    <n v="7085"/>
    <n v="74"/>
    <n v="0.74"/>
    <n v="18537729"/>
    <n v="38.219352543129745"/>
  </r>
  <r>
    <x v="24"/>
    <x v="2"/>
    <s v="MOZ"/>
    <s v="Sub-Saharan Africa"/>
    <n v="7155"/>
    <n v="77"/>
    <n v="0.77"/>
    <n v="18958338"/>
    <n v="37.740650050653173"/>
  </r>
  <r>
    <x v="24"/>
    <x v="3"/>
    <s v="MOZ"/>
    <s v="Sub-Saharan Africa"/>
    <n v="28898"/>
    <n v="80"/>
    <n v="0.8"/>
    <n v="19392475"/>
    <n v="149.01656441480523"/>
  </r>
  <r>
    <x v="24"/>
    <x v="4"/>
    <s v="MOZ"/>
    <s v="Sub-Saharan Africa"/>
    <n v="9396"/>
    <n v="79"/>
    <n v="0.79"/>
    <n v="19840313"/>
    <n v="47.358123836050368"/>
  </r>
  <r>
    <x v="24"/>
    <x v="5"/>
    <s v="MOZ"/>
    <s v="Sub-Saharan Africa"/>
    <n v="12598"/>
    <n v="78"/>
    <n v="0.78"/>
    <n v="20304569"/>
    <n v="62.045148557450297"/>
  </r>
  <r>
    <x v="24"/>
    <x v="6"/>
    <s v="MOZ"/>
    <s v="Sub-Saharan Africa"/>
    <n v="183"/>
    <n v="76"/>
    <n v="0.76"/>
    <n v="20787087"/>
    <n v="0.88035423145147762"/>
  </r>
  <r>
    <x v="24"/>
    <x v="7"/>
    <s v="MOZ"/>
    <s v="Sub-Saharan Africa"/>
    <n v="267"/>
    <n v="75"/>
    <n v="0.75"/>
    <n v="21287635"/>
    <n v="1.2542492390535631"/>
  </r>
  <r>
    <x v="24"/>
    <x v="8"/>
    <s v="MOZ"/>
    <s v="Sub-Saharan Africa"/>
    <n v="4"/>
    <n v="77"/>
    <n v="0.77"/>
    <n v="21819036"/>
    <n v="1.8332615611432148E-2"/>
  </r>
  <r>
    <x v="24"/>
    <x v="9"/>
    <s v="MOZ"/>
    <s v="Sub-Saharan Africa"/>
    <n v="60"/>
    <n v="80"/>
    <n v="0.8"/>
    <n v="22391745"/>
    <n v="0.26795589178065399"/>
  </r>
  <r>
    <x v="24"/>
    <x v="10"/>
    <s v="MOZ"/>
    <s v="Sub-Saharan Africa"/>
    <n v="2321"/>
    <n v="82"/>
    <n v="0.82"/>
    <n v="22999235"/>
    <n v="10.091640004547976"/>
  </r>
  <r>
    <x v="24"/>
    <x v="11"/>
    <s v="MOZ"/>
    <s v="Sub-Saharan Africa"/>
    <n v="177"/>
    <n v="82"/>
    <n v="0.82"/>
    <n v="23649039"/>
    <n v="0.74844478881361731"/>
  </r>
  <r>
    <x v="24"/>
    <x v="12"/>
    <s v="MOZ"/>
    <s v="Sub-Saharan Africa"/>
    <n v="145"/>
    <n v="83"/>
    <n v="0.83"/>
    <n v="24337846"/>
    <n v="0.59577992234809929"/>
  </r>
  <r>
    <x v="24"/>
    <x v="13"/>
    <s v="MOZ"/>
    <s v="Sub-Saharan Africa"/>
    <n v="8"/>
    <n v="83"/>
    <n v="0.83"/>
    <n v="25051611"/>
    <n v="3.1934074020229679E-2"/>
  </r>
  <r>
    <x v="24"/>
    <x v="14"/>
    <s v="MOZ"/>
    <s v="Sub-Saharan Africa"/>
    <n v="9"/>
    <n v="83"/>
    <n v="0.83"/>
    <n v="25788475"/>
    <n v="3.4899310641672301E-2"/>
  </r>
  <r>
    <x v="24"/>
    <x v="15"/>
    <s v="MOZ"/>
    <s v="Sub-Saharan Africa"/>
    <n v="79"/>
    <n v="83"/>
    <n v="0.83"/>
    <n v="26547572"/>
    <n v="0.29757900270503079"/>
  </r>
  <r>
    <x v="24"/>
    <x v="16"/>
    <s v="MOZ"/>
    <s v="Sub-Saharan Africa"/>
    <m/>
    <n v="83"/>
    <n v="0.83"/>
    <n v="27337105"/>
    <m/>
  </r>
  <r>
    <x v="24"/>
    <x v="17"/>
    <s v="MOZ"/>
    <s v="Sub-Saharan Africa"/>
    <n v="122"/>
    <n v="83"/>
    <n v="0.83"/>
    <n v="28166393"/>
    <n v="0.43314030305548884"/>
  </r>
  <r>
    <x v="24"/>
    <x v="18"/>
    <s v="MOZ"/>
    <s v="Sub-Saharan Africa"/>
    <n v="16"/>
    <n v="83"/>
    <n v="0.83"/>
    <n v="29018644"/>
    <n v="5.5136966427514665E-2"/>
  </r>
  <r>
    <x v="24"/>
    <x v="19"/>
    <s v="MOZ"/>
    <s v="Sub-Saharan Africa"/>
    <n v="63"/>
    <n v="83"/>
    <n v="0.83"/>
    <n v="29884380"/>
    <n v="0.2108124712642524"/>
  </r>
  <r>
    <x v="24"/>
    <x v="20"/>
    <s v="MOZ"/>
    <s v="Sub-Saharan Africa"/>
    <n v="426"/>
    <n v="73"/>
    <n v="0.73"/>
    <n v="30783688"/>
    <n v="1.3838497843403299"/>
  </r>
  <r>
    <x v="24"/>
    <x v="21"/>
    <s v="MOZ"/>
    <s v="Sub-Saharan Africa"/>
    <n v="619"/>
    <n v="62"/>
    <n v="0.62"/>
    <n v="31707800"/>
    <n v="1.9522010357073021"/>
  </r>
  <r>
    <x v="24"/>
    <x v="22"/>
    <s v="MOZ"/>
    <s v="Sub-Saharan Africa"/>
    <n v="1047"/>
    <n v="63"/>
    <n v="0.63"/>
    <n v="32656246"/>
    <n v="3.2061247946258118"/>
  </r>
  <r>
    <x v="24"/>
    <x v="23"/>
    <s v="MOZ"/>
    <s v="Sub-Saharan Africa"/>
    <n v="656"/>
    <n v="65"/>
    <n v="0.65"/>
    <n v="33635160"/>
    <n v="1.9503400608173116"/>
  </r>
  <r>
    <x v="24"/>
    <x v="24"/>
    <s v="MOZ"/>
    <s v="Sub-Saharan Africa"/>
    <n v="1237"/>
    <n v="65"/>
    <n v="0.65"/>
    <n v="34631766"/>
    <n v="3.571865206065437"/>
  </r>
  <r>
    <x v="25"/>
    <x v="0"/>
    <s v="MRT"/>
    <s v="Sub-Saharan Africa"/>
    <m/>
    <n v="46"/>
    <n v="0.46"/>
    <n v="2613441"/>
    <m/>
  </r>
  <r>
    <x v="25"/>
    <x v="1"/>
    <s v="MRT"/>
    <s v="Sub-Saharan Africa"/>
    <n v="1398"/>
    <n v="57.999999999999993"/>
    <n v="0.57999999999999996"/>
    <n v="2678760"/>
    <n v="52.188325941853691"/>
  </r>
  <r>
    <x v="25"/>
    <x v="2"/>
    <s v="MRT"/>
    <s v="Sub-Saharan Africa"/>
    <n v="883"/>
    <n v="87"/>
    <n v="0.87"/>
    <n v="2738655"/>
    <n v="32.242104244601819"/>
  </r>
  <r>
    <x v="25"/>
    <x v="3"/>
    <s v="MRT"/>
    <s v="Sub-Saharan Africa"/>
    <n v="3611"/>
    <n v="84"/>
    <n v="0.84"/>
    <n v="2802046"/>
    <n v="128.87011847771237"/>
  </r>
  <r>
    <x v="25"/>
    <x v="4"/>
    <s v="MRT"/>
    <s v="Sub-Saharan Africa"/>
    <n v="5039"/>
    <n v="73"/>
    <n v="0.73"/>
    <n v="2868664"/>
    <n v="175.65668199552127"/>
  </r>
  <r>
    <x v="25"/>
    <x v="5"/>
    <s v="MRT"/>
    <s v="Sub-Saharan Africa"/>
    <n v="127"/>
    <n v="65"/>
    <n v="0.65"/>
    <n v="2939059"/>
    <n v="4.3211109406105832"/>
  </r>
  <r>
    <x v="25"/>
    <x v="6"/>
    <s v="MRT"/>
    <s v="Sub-Saharan Africa"/>
    <n v="22"/>
    <n v="62"/>
    <n v="0.62"/>
    <n v="3013660"/>
    <n v="0.73000935739267203"/>
  </r>
  <r>
    <x v="25"/>
    <x v="7"/>
    <s v="MRT"/>
    <s v="Sub-Saharan Africa"/>
    <n v="11"/>
    <n v="67"/>
    <n v="0.67"/>
    <n v="3093059"/>
    <n v="0.35563498788739561"/>
  </r>
  <r>
    <x v="25"/>
    <x v="8"/>
    <s v="MRT"/>
    <s v="Sub-Saharan Africa"/>
    <n v="4"/>
    <n v="65"/>
    <n v="0.65"/>
    <n v="3183269"/>
    <n v="0.1256569897171744"/>
  </r>
  <r>
    <x v="25"/>
    <x v="9"/>
    <s v="MRT"/>
    <s v="Sub-Saharan Africa"/>
    <n v="322"/>
    <n v="59"/>
    <n v="0.59"/>
    <n v="3284448"/>
    <n v="9.8037782909030682"/>
  </r>
  <r>
    <x v="25"/>
    <x v="10"/>
    <s v="MRT"/>
    <s v="Sub-Saharan Africa"/>
    <n v="1292"/>
    <n v="67"/>
    <n v="0.67"/>
    <n v="3390965"/>
    <n v="38.101248464670086"/>
  </r>
  <r>
    <x v="25"/>
    <x v="11"/>
    <s v="MRT"/>
    <s v="Sub-Saharan Africa"/>
    <n v="234"/>
    <n v="67"/>
    <n v="0.67"/>
    <n v="3502811"/>
    <n v="6.6803490111227815"/>
  </r>
  <r>
    <x v="25"/>
    <x v="12"/>
    <s v="MRT"/>
    <s v="Sub-Saharan Africa"/>
    <n v="35"/>
    <n v="75"/>
    <n v="0.75"/>
    <n v="3619034"/>
    <n v="0.96710890254139648"/>
  </r>
  <r>
    <x v="25"/>
    <x v="13"/>
    <s v="MRT"/>
    <s v="Sub-Saharan Africa"/>
    <n v="62"/>
    <n v="80"/>
    <n v="0.8"/>
    <n v="3734318"/>
    <n v="1.6602763878169988"/>
  </r>
  <r>
    <x v="25"/>
    <x v="14"/>
    <s v="MRT"/>
    <s v="Sub-Saharan Africa"/>
    <n v="14"/>
    <n v="75"/>
    <n v="0.75"/>
    <n v="3848514"/>
    <n v="0.36377677202161668"/>
  </r>
  <r>
    <x v="25"/>
    <x v="15"/>
    <s v="MRT"/>
    <s v="Sub-Saharan Africa"/>
    <n v="1"/>
    <n v="70"/>
    <n v="0.7"/>
    <n v="3965959"/>
    <n v="2.5214582399868481E-2"/>
  </r>
  <r>
    <x v="25"/>
    <x v="16"/>
    <s v="MRT"/>
    <s v="Sub-Saharan Africa"/>
    <n v="13"/>
    <n v="73"/>
    <n v="0.73"/>
    <n v="4086657"/>
    <n v="0.31810841966918196"/>
  </r>
  <r>
    <x v="25"/>
    <x v="17"/>
    <s v="MRT"/>
    <s v="Sub-Saharan Africa"/>
    <n v="63"/>
    <n v="75"/>
    <n v="0.75"/>
    <n v="4210600"/>
    <n v="1.4962238160832186"/>
  </r>
  <r>
    <x v="25"/>
    <x v="18"/>
    <s v="MRT"/>
    <s v="Sub-Saharan Africa"/>
    <n v="77"/>
    <n v="78"/>
    <n v="0.78"/>
    <n v="4337685"/>
    <n v="1.7751404262872936"/>
  </r>
  <r>
    <x v="25"/>
    <x v="19"/>
    <s v="MRT"/>
    <s v="Sub-Saharan Africa"/>
    <n v="196"/>
    <n v="75"/>
    <n v="0.75"/>
    <n v="4467708"/>
    <n v="4.3870369325837766"/>
  </r>
  <r>
    <x v="25"/>
    <x v="20"/>
    <s v="MRT"/>
    <s v="Sub-Saharan Africa"/>
    <n v="0"/>
    <n v="82"/>
    <n v="0.82"/>
    <n v="4600131"/>
    <n v="0"/>
  </r>
  <r>
    <x v="25"/>
    <x v="21"/>
    <s v="MRT"/>
    <s v="Sub-Saharan Africa"/>
    <n v="249"/>
    <n v="75"/>
    <n v="0.75"/>
    <n v="4734874"/>
    <n v="5.2588516611001683"/>
  </r>
  <r>
    <x v="25"/>
    <x v="22"/>
    <s v="MRT"/>
    <s v="Sub-Saharan Africa"/>
    <n v="96"/>
    <n v="84"/>
    <n v="0.84"/>
    <n v="4875637"/>
    <n v="1.9689734900280724"/>
  </r>
  <r>
    <x v="25"/>
    <x v="23"/>
    <s v="MRT"/>
    <s v="Sub-Saharan Africa"/>
    <n v="339"/>
    <n v="92"/>
    <n v="0.92"/>
    <n v="5022441"/>
    <n v="6.749705969666941"/>
  </r>
  <r>
    <x v="25"/>
    <x v="24"/>
    <s v="MRT"/>
    <s v="Sub-Saharan Africa"/>
    <n v="1107"/>
    <n v="93"/>
    <n v="0.93"/>
    <n v="5169395"/>
    <n v="21.414498214974866"/>
  </r>
  <r>
    <x v="26"/>
    <x v="0"/>
    <s v="MUS"/>
    <s v="Sub-Saharan Africa"/>
    <n v="0"/>
    <n v="84"/>
    <n v="0.84"/>
    <n v="1186873"/>
    <n v="0"/>
  </r>
  <r>
    <x v="26"/>
    <x v="1"/>
    <s v="MUS"/>
    <s v="Sub-Saharan Africa"/>
    <n v="0"/>
    <n v="90"/>
    <n v="0.9"/>
    <n v="1196287"/>
    <n v="0"/>
  </r>
  <r>
    <x v="26"/>
    <x v="2"/>
    <s v="MUS"/>
    <s v="Sub-Saharan Africa"/>
    <m/>
    <n v="84"/>
    <n v="0.84"/>
    <n v="1204621"/>
    <m/>
  </r>
  <r>
    <x v="26"/>
    <x v="3"/>
    <s v="MUS"/>
    <s v="Sub-Saharan Africa"/>
    <n v="777"/>
    <n v="91"/>
    <n v="0.91"/>
    <n v="1213370"/>
    <n v="64.03652636870865"/>
  </r>
  <r>
    <x v="26"/>
    <x v="4"/>
    <s v="MUS"/>
    <s v="Sub-Saharan Africa"/>
    <n v="28"/>
    <n v="98"/>
    <n v="0.98"/>
    <n v="1221003"/>
    <n v="2.2931966588124681"/>
  </r>
  <r>
    <x v="26"/>
    <x v="5"/>
    <s v="MUS"/>
    <s v="Sub-Saharan Africa"/>
    <n v="7"/>
    <n v="98"/>
    <n v="0.98"/>
    <n v="1228254"/>
    <n v="0.56991469191225919"/>
  </r>
  <r>
    <x v="26"/>
    <x v="6"/>
    <s v="MUS"/>
    <s v="Sub-Saharan Africa"/>
    <n v="3"/>
    <n v="99"/>
    <n v="0.99"/>
    <n v="1233996"/>
    <n v="0.24311261948985247"/>
  </r>
  <r>
    <x v="26"/>
    <x v="7"/>
    <s v="MUS"/>
    <s v="Sub-Saharan Africa"/>
    <n v="13"/>
    <n v="98"/>
    <n v="0.98"/>
    <n v="1239630"/>
    <n v="1.048700015327154"/>
  </r>
  <r>
    <x v="26"/>
    <x v="8"/>
    <s v="MUS"/>
    <s v="Sub-Saharan Africa"/>
    <n v="12"/>
    <n v="98"/>
    <n v="0.98"/>
    <n v="1244121"/>
    <n v="0.96453640763237658"/>
  </r>
  <r>
    <x v="26"/>
    <x v="9"/>
    <s v="MUS"/>
    <s v="Sub-Saharan Africa"/>
    <n v="15"/>
    <n v="99"/>
    <n v="0.99"/>
    <n v="1247429"/>
    <n v="1.2024732469743769"/>
  </r>
  <r>
    <x v="26"/>
    <x v="10"/>
    <s v="MUS"/>
    <s v="Sub-Saharan Africa"/>
    <n v="12"/>
    <n v="99"/>
    <n v="0.99"/>
    <n v="1250400"/>
    <n v="0.95969289827255277"/>
  </r>
  <r>
    <x v="26"/>
    <x v="11"/>
    <s v="MUS"/>
    <s v="Sub-Saharan Africa"/>
    <n v="2"/>
    <n v="99"/>
    <n v="0.99"/>
    <n v="1252404"/>
    <n v="0.15969287865576923"/>
  </r>
  <r>
    <x v="26"/>
    <x v="12"/>
    <s v="MUS"/>
    <s v="Sub-Saharan Africa"/>
    <n v="0"/>
    <n v="99"/>
    <n v="0.99"/>
    <n v="1255882"/>
    <n v="0"/>
  </r>
  <r>
    <x v="26"/>
    <x v="13"/>
    <s v="MUS"/>
    <s v="Sub-Saharan Africa"/>
    <n v="0"/>
    <n v="99"/>
    <n v="0.99"/>
    <n v="1258927"/>
    <n v="0"/>
  </r>
  <r>
    <x v="26"/>
    <x v="14"/>
    <s v="MUS"/>
    <s v="Sub-Saharan Africa"/>
    <n v="0"/>
    <n v="98"/>
    <n v="0.98"/>
    <n v="1261208"/>
    <n v="0"/>
  </r>
  <r>
    <x v="26"/>
    <x v="15"/>
    <s v="MUS"/>
    <s v="Sub-Saharan Africa"/>
    <m/>
    <n v="99"/>
    <n v="0.99"/>
    <n v="1262879"/>
    <m/>
  </r>
  <r>
    <x v="26"/>
    <x v="16"/>
    <s v="MUS"/>
    <s v="Sub-Saharan Africa"/>
    <n v="0"/>
    <n v="92"/>
    <n v="0.92"/>
    <n v="1263747"/>
    <n v="0"/>
  </r>
  <r>
    <x v="26"/>
    <x v="17"/>
    <s v="MUS"/>
    <s v="Sub-Saharan Africa"/>
    <n v="0"/>
    <n v="89"/>
    <n v="0.89"/>
    <n v="1264887"/>
    <n v="0"/>
  </r>
  <r>
    <x v="26"/>
    <x v="18"/>
    <s v="MUS"/>
    <s v="Sub-Saharan Africa"/>
    <m/>
    <n v="99"/>
    <n v="0.99"/>
    <n v="1265577"/>
    <m/>
  </r>
  <r>
    <x v="26"/>
    <x v="19"/>
    <s v="MUS"/>
    <s v="Sub-Saharan Africa"/>
    <n v="98"/>
    <n v="99"/>
    <n v="0.99"/>
    <n v="1265985"/>
    <n v="7.7410079898261044"/>
  </r>
  <r>
    <x v="26"/>
    <x v="20"/>
    <s v="MUS"/>
    <s v="Sub-Saharan Africa"/>
    <m/>
    <n v="98"/>
    <n v="0.98"/>
    <n v="1266014"/>
    <m/>
  </r>
  <r>
    <x v="26"/>
    <x v="21"/>
    <s v="MUS"/>
    <s v="Sub-Saharan Africa"/>
    <n v="0"/>
    <n v="97"/>
    <n v="0.97"/>
    <n v="1266334"/>
    <n v="0"/>
  </r>
  <r>
    <x v="26"/>
    <x v="22"/>
    <s v="MUS"/>
    <s v="Sub-Saharan Africa"/>
    <n v="0"/>
    <n v="98"/>
    <n v="0.98"/>
    <n v="1262523"/>
    <n v="0"/>
  </r>
  <r>
    <x v="26"/>
    <x v="23"/>
    <s v="MUS"/>
    <s v="Sub-Saharan Africa"/>
    <n v="0"/>
    <n v="96"/>
    <n v="0.96"/>
    <n v="1248647"/>
    <n v="0"/>
  </r>
  <r>
    <x v="26"/>
    <x v="24"/>
    <s v="MUS"/>
    <s v="Sub-Saharan Africa"/>
    <n v="0"/>
    <n v="98"/>
    <n v="0.98"/>
    <n v="1245779"/>
    <n v="0"/>
  </r>
  <r>
    <x v="27"/>
    <x v="0"/>
    <s v="MWI"/>
    <s v="Sub-Saharan Africa"/>
    <n v="304"/>
    <n v="73"/>
    <n v="0.73"/>
    <n v="11315942"/>
    <n v="2.6864754167174061"/>
  </r>
  <r>
    <x v="27"/>
    <x v="1"/>
    <s v="MWI"/>
    <s v="Sub-Saharan Africa"/>
    <n v="150"/>
    <n v="81"/>
    <n v="0.81"/>
    <n v="11593058"/>
    <n v="1.2938777671948161"/>
  </r>
  <r>
    <x v="27"/>
    <x v="2"/>
    <s v="MWI"/>
    <s v="Sub-Saharan Africa"/>
    <n v="92"/>
    <n v="69"/>
    <n v="0.69"/>
    <n v="11880440"/>
    <n v="0.77438209359249321"/>
  </r>
  <r>
    <x v="27"/>
    <x v="3"/>
    <s v="MWI"/>
    <s v="Sub-Saharan Africa"/>
    <n v="167"/>
    <n v="77"/>
    <n v="0.77"/>
    <n v="12181574"/>
    <n v="1.3709230022327166"/>
  </r>
  <r>
    <x v="27"/>
    <x v="4"/>
    <s v="MWI"/>
    <s v="Sub-Saharan Africa"/>
    <n v="1116"/>
    <n v="80"/>
    <n v="0.8"/>
    <n v="12500737"/>
    <n v="8.9274736361544136"/>
  </r>
  <r>
    <x v="27"/>
    <x v="5"/>
    <s v="MWI"/>
    <s v="Sub-Saharan Africa"/>
    <n v="184"/>
    <n v="82"/>
    <n v="0.82"/>
    <n v="12840031"/>
    <n v="1.433018347074084"/>
  </r>
  <r>
    <x v="27"/>
    <x v="6"/>
    <s v="MWI"/>
    <s v="Sub-Saharan Africa"/>
    <n v="1"/>
    <n v="85"/>
    <n v="0.85"/>
    <n v="13198701"/>
    <n v="7.5765031725470557E-3"/>
  </r>
  <r>
    <x v="27"/>
    <x v="7"/>
    <s v="MWI"/>
    <s v="Sub-Saharan Africa"/>
    <n v="143"/>
    <n v="83"/>
    <n v="0.83"/>
    <n v="13576343"/>
    <n v="1.0533027929538905"/>
  </r>
  <r>
    <x v="27"/>
    <x v="8"/>
    <s v="MWI"/>
    <s v="Sub-Saharan Africa"/>
    <n v="20"/>
    <n v="88"/>
    <n v="0.88"/>
    <n v="13976417"/>
    <n v="0.14309819176116453"/>
  </r>
  <r>
    <x v="27"/>
    <x v="9"/>
    <s v="MWI"/>
    <s v="Sub-Saharan Africa"/>
    <n v="21"/>
    <n v="92"/>
    <n v="0.92"/>
    <n v="14395788"/>
    <n v="0.14587600206393703"/>
  </r>
  <r>
    <x v="27"/>
    <x v="10"/>
    <s v="MWI"/>
    <s v="Sub-Saharan Africa"/>
    <n v="118712"/>
    <n v="93"/>
    <n v="0.93"/>
    <n v="14826463"/>
    <n v="800.67646612681665"/>
  </r>
  <r>
    <x v="27"/>
    <x v="11"/>
    <s v="MWI"/>
    <s v="Sub-Saharan Africa"/>
    <n v="26"/>
    <n v="96"/>
    <n v="0.96"/>
    <n v="15265022"/>
    <n v="0.1703240257367464"/>
  </r>
  <r>
    <x v="27"/>
    <x v="12"/>
    <s v="MWI"/>
    <s v="Sub-Saharan Africa"/>
    <n v="11"/>
    <n v="90"/>
    <n v="0.9"/>
    <n v="15709577"/>
    <n v="7.0020981468819951E-2"/>
  </r>
  <r>
    <x v="27"/>
    <x v="13"/>
    <s v="MWI"/>
    <s v="Sub-Saharan Africa"/>
    <n v="1"/>
    <n v="88"/>
    <n v="0.88"/>
    <n v="16161816"/>
    <n v="6.1874234925085158E-3"/>
  </r>
  <r>
    <x v="27"/>
    <x v="14"/>
    <s v="MWI"/>
    <s v="Sub-Saharan Africa"/>
    <n v="3"/>
    <n v="85"/>
    <n v="0.85"/>
    <n v="16621538"/>
    <n v="1.8048871289768734E-2"/>
  </r>
  <r>
    <x v="27"/>
    <x v="15"/>
    <s v="MWI"/>
    <s v="Sub-Saharan Africa"/>
    <n v="0"/>
    <n v="87"/>
    <n v="0.87"/>
    <n v="17085587"/>
    <n v="0"/>
  </r>
  <r>
    <x v="27"/>
    <x v="16"/>
    <s v="MWI"/>
    <s v="Sub-Saharan Africa"/>
    <n v="0"/>
    <n v="81"/>
    <n v="0.81"/>
    <n v="17557739"/>
    <n v="0"/>
  </r>
  <r>
    <x v="27"/>
    <x v="17"/>
    <s v="MWI"/>
    <s v="Sub-Saharan Africa"/>
    <n v="4"/>
    <n v="83"/>
    <n v="0.83"/>
    <n v="18039715"/>
    <n v="2.2173299301014457E-2"/>
  </r>
  <r>
    <x v="27"/>
    <x v="18"/>
    <s v="MWI"/>
    <s v="Sub-Saharan Africa"/>
    <n v="1"/>
    <n v="87"/>
    <n v="0.87"/>
    <n v="18528081"/>
    <n v="5.397213019524256E-3"/>
  </r>
  <r>
    <x v="27"/>
    <x v="19"/>
    <s v="MWI"/>
    <s v="Sub-Saharan Africa"/>
    <n v="17"/>
    <n v="92"/>
    <n v="0.92"/>
    <n v="19025752"/>
    <n v="8.9352578547223782E-2"/>
  </r>
  <r>
    <x v="27"/>
    <x v="20"/>
    <s v="MWI"/>
    <s v="Sub-Saharan Africa"/>
    <n v="76"/>
    <n v="90"/>
    <n v="0.9"/>
    <n v="19533888"/>
    <n v="0.38906745037137508"/>
  </r>
  <r>
    <x v="27"/>
    <x v="21"/>
    <s v="MWI"/>
    <s v="Sub-Saharan Africa"/>
    <n v="5"/>
    <n v="90"/>
    <n v="0.9"/>
    <n v="20047258"/>
    <n v="2.4941066753368463E-2"/>
  </r>
  <r>
    <x v="27"/>
    <x v="22"/>
    <s v="MWI"/>
    <s v="Sub-Saharan Africa"/>
    <n v="29"/>
    <n v="82"/>
    <n v="0.82"/>
    <n v="20568728"/>
    <n v="0.14099073117209776"/>
  </r>
  <r>
    <x v="27"/>
    <x v="23"/>
    <s v="MWI"/>
    <s v="Sub-Saharan Africa"/>
    <n v="173"/>
    <n v="87"/>
    <n v="0.87"/>
    <n v="21104482"/>
    <n v="0.81973108840103259"/>
  </r>
  <r>
    <x v="27"/>
    <x v="24"/>
    <s v="MWI"/>
    <s v="Sub-Saharan Africa"/>
    <n v="958"/>
    <n v="89"/>
    <n v="0.89"/>
    <n v="21655286"/>
    <n v="4.4238621461753036"/>
  </r>
  <r>
    <x v="28"/>
    <x v="0"/>
    <s v="NAM"/>
    <s v="Sub-Saharan Africa"/>
    <n v="469"/>
    <n v="69"/>
    <n v="0.69"/>
    <n v="1818647"/>
    <n v="25.788402037338749"/>
  </r>
  <r>
    <x v="28"/>
    <x v="1"/>
    <s v="NAM"/>
    <s v="Sub-Saharan Africa"/>
    <n v="416"/>
    <n v="57.999999999999993"/>
    <n v="0.57999999999999996"/>
    <n v="1857048"/>
    <n v="22.401144181518195"/>
  </r>
  <r>
    <x v="28"/>
    <x v="2"/>
    <s v="NAM"/>
    <s v="Sub-Saharan Africa"/>
    <n v="1278"/>
    <n v="68"/>
    <n v="0.68"/>
    <n v="1889970"/>
    <n v="67.620120954300859"/>
  </r>
  <r>
    <x v="28"/>
    <x v="3"/>
    <s v="NAM"/>
    <s v="Sub-Saharan Africa"/>
    <n v="262"/>
    <n v="70"/>
    <n v="0.7"/>
    <n v="1917464"/>
    <n v="13.663881042877467"/>
  </r>
  <r>
    <x v="28"/>
    <x v="4"/>
    <s v="NAM"/>
    <s v="Sub-Saharan Africa"/>
    <n v="4"/>
    <n v="70"/>
    <n v="0.7"/>
    <n v="1942082"/>
    <n v="0.20596452672956139"/>
  </r>
  <r>
    <x v="28"/>
    <x v="5"/>
    <s v="NAM"/>
    <s v="Sub-Saharan Africa"/>
    <n v="4"/>
    <n v="73"/>
    <n v="0.73"/>
    <n v="1966582"/>
    <n v="0.20339858699001617"/>
  </r>
  <r>
    <x v="28"/>
    <x v="6"/>
    <s v="NAM"/>
    <s v="Sub-Saharan Africa"/>
    <n v="3"/>
    <n v="63"/>
    <n v="0.63"/>
    <n v="1991888"/>
    <n v="0.15061087772003245"/>
  </r>
  <r>
    <x v="28"/>
    <x v="7"/>
    <s v="NAM"/>
    <s v="Sub-Saharan Africa"/>
    <n v="21"/>
    <n v="69"/>
    <n v="0.69"/>
    <n v="2018600"/>
    <n v="1.040324977707322"/>
  </r>
  <r>
    <x v="28"/>
    <x v="8"/>
    <s v="NAM"/>
    <s v="Sub-Saharan Africa"/>
    <n v="0"/>
    <n v="73"/>
    <n v="0.73"/>
    <n v="2047056"/>
    <n v="0"/>
  </r>
  <r>
    <x v="28"/>
    <x v="9"/>
    <s v="NAM"/>
    <s v="Sub-Saharan Africa"/>
    <n v="4076"/>
    <n v="76"/>
    <n v="0.76"/>
    <n v="2077394"/>
    <n v="196.20736364887929"/>
  </r>
  <r>
    <x v="28"/>
    <x v="10"/>
    <s v="NAM"/>
    <s v="Sub-Saharan Africa"/>
    <n v="3138"/>
    <n v="75"/>
    <n v="0.75"/>
    <n v="2109811"/>
    <n v="148.73370173916052"/>
  </r>
  <r>
    <x v="28"/>
    <x v="11"/>
    <s v="NAM"/>
    <s v="Sub-Saharan Africa"/>
    <n v="79"/>
    <n v="74"/>
    <n v="0.74"/>
    <n v="2146325"/>
    <n v="3.6807100509009585"/>
  </r>
  <r>
    <x v="28"/>
    <x v="12"/>
    <s v="NAM"/>
    <s v="Sub-Saharan Africa"/>
    <n v="86"/>
    <n v="76"/>
    <n v="0.76"/>
    <n v="2194654"/>
    <n v="3.9186131390187242"/>
  </r>
  <r>
    <x v="28"/>
    <x v="13"/>
    <s v="NAM"/>
    <s v="Sub-Saharan Africa"/>
    <n v="1028"/>
    <n v="82"/>
    <n v="0.82"/>
    <n v="2252508"/>
    <n v="45.638017711812786"/>
  </r>
  <r>
    <x v="28"/>
    <x v="14"/>
    <s v="NAM"/>
    <s v="Sub-Saharan Africa"/>
    <n v="477"/>
    <n v="83"/>
    <n v="0.83"/>
    <n v="2312139"/>
    <n v="20.630247575945909"/>
  </r>
  <r>
    <x v="28"/>
    <x v="15"/>
    <s v="NAM"/>
    <s v="Sub-Saharan Africa"/>
    <n v="212"/>
    <n v="85"/>
    <n v="0.85"/>
    <n v="2374300"/>
    <n v="8.9289474792570438"/>
  </r>
  <r>
    <x v="28"/>
    <x v="16"/>
    <s v="NAM"/>
    <s v="Sub-Saharan Africa"/>
    <n v="40"/>
    <n v="75"/>
    <n v="0.75"/>
    <n v="2439213"/>
    <n v="1.6398731886063251"/>
  </r>
  <r>
    <x v="28"/>
    <x v="17"/>
    <s v="NAM"/>
    <s v="Sub-Saharan Africa"/>
    <n v="16"/>
    <n v="80"/>
    <n v="0.8"/>
    <n v="2506853"/>
    <n v="0.63825042792696662"/>
  </r>
  <r>
    <x v="28"/>
    <x v="18"/>
    <s v="NAM"/>
    <s v="Sub-Saharan Africa"/>
    <n v="9"/>
    <n v="82"/>
    <n v="0.82"/>
    <n v="2577327"/>
    <n v="0.3491989957036884"/>
  </r>
  <r>
    <x v="28"/>
    <x v="19"/>
    <s v="NAM"/>
    <s v="Sub-Saharan Africa"/>
    <n v="12"/>
    <n v="80"/>
    <n v="0.8"/>
    <n v="2650494"/>
    <n v="0.45274579003008497"/>
  </r>
  <r>
    <x v="28"/>
    <x v="20"/>
    <s v="NAM"/>
    <s v="Sub-Saharan Africa"/>
    <n v="5"/>
    <n v="90"/>
    <n v="0.9"/>
    <n v="2728762"/>
    <n v="0.18323327574922255"/>
  </r>
  <r>
    <x v="28"/>
    <x v="21"/>
    <s v="NAM"/>
    <s v="Sub-Saharan Africa"/>
    <n v="4"/>
    <n v="91"/>
    <n v="0.91"/>
    <n v="2810548"/>
    <n v="0.14232099932112882"/>
  </r>
  <r>
    <x v="28"/>
    <x v="22"/>
    <s v="NAM"/>
    <s v="Sub-Saharan Africa"/>
    <n v="31"/>
    <n v="89"/>
    <n v="0.89"/>
    <n v="2889662"/>
    <n v="1.0727898280144876"/>
  </r>
  <r>
    <x v="28"/>
    <x v="23"/>
    <s v="NAM"/>
    <s v="Sub-Saharan Africa"/>
    <n v="42"/>
    <n v="86"/>
    <n v="0.86"/>
    <n v="2963095"/>
    <n v="1.4174368354710194"/>
  </r>
  <r>
    <x v="28"/>
    <x v="24"/>
    <s v="NAM"/>
    <s v="Sub-Saharan Africa"/>
    <n v="15"/>
    <n v="79"/>
    <n v="0.79"/>
    <n v="3030131"/>
    <n v="0.49502810274539288"/>
  </r>
  <r>
    <x v="29"/>
    <x v="0"/>
    <s v="NER"/>
    <s v="Sub-Saharan Africa"/>
    <n v="21319"/>
    <n v="37"/>
    <n v="0.37"/>
    <n v="11509630"/>
    <n v="185.22750079715854"/>
  </r>
  <r>
    <x v="29"/>
    <x v="1"/>
    <s v="NER"/>
    <s v="Sub-Saharan Africa"/>
    <n v="61208"/>
    <n v="39"/>
    <n v="0.39"/>
    <n v="11920647"/>
    <n v="513.46206292326247"/>
  </r>
  <r>
    <x v="29"/>
    <x v="2"/>
    <s v="NER"/>
    <s v="Sub-Saharan Africa"/>
    <n v="31584"/>
    <n v="41"/>
    <n v="0.41"/>
    <n v="12349144"/>
    <n v="255.75861776330407"/>
  </r>
  <r>
    <x v="29"/>
    <x v="3"/>
    <s v="NER"/>
    <s v="Sub-Saharan Africa"/>
    <n v="54190"/>
    <n v="43"/>
    <n v="0.43"/>
    <n v="12796984"/>
    <n v="423.45915256282262"/>
  </r>
  <r>
    <x v="29"/>
    <x v="4"/>
    <s v="NER"/>
    <s v="Sub-Saharan Africa"/>
    <n v="63057"/>
    <n v="45"/>
    <n v="0.45"/>
    <n v="13265836"/>
    <n v="475.3337822056597"/>
  </r>
  <r>
    <x v="29"/>
    <x v="5"/>
    <s v="NER"/>
    <s v="Sub-Saharan Africa"/>
    <n v="2183"/>
    <n v="47"/>
    <n v="0.47"/>
    <n v="13756192"/>
    <n v="15.869217295018853"/>
  </r>
  <r>
    <x v="29"/>
    <x v="6"/>
    <s v="NER"/>
    <s v="Sub-Saharan Africa"/>
    <n v="59"/>
    <n v="53"/>
    <n v="0.53"/>
    <n v="14268581"/>
    <n v="0.41349591805940622"/>
  </r>
  <r>
    <x v="29"/>
    <x v="7"/>
    <s v="NER"/>
    <s v="Sub-Saharan Africa"/>
    <n v="282"/>
    <n v="60"/>
    <n v="0.6"/>
    <n v="14803610"/>
    <n v="1.9049407543160082"/>
  </r>
  <r>
    <x v="29"/>
    <x v="8"/>
    <s v="NER"/>
    <s v="Sub-Saharan Africa"/>
    <n v="1317"/>
    <n v="66"/>
    <n v="0.66"/>
    <n v="15361915"/>
    <n v="8.5731498970017732"/>
  </r>
  <r>
    <x v="29"/>
    <x v="9"/>
    <s v="NER"/>
    <s v="Sub-Saharan Africa"/>
    <n v="801"/>
    <n v="69"/>
    <n v="0.69"/>
    <n v="15943675"/>
    <n v="5.0239358240807093"/>
  </r>
  <r>
    <x v="29"/>
    <x v="10"/>
    <s v="NER"/>
    <s v="Sub-Saharan Africa"/>
    <n v="372"/>
    <n v="67"/>
    <n v="0.67"/>
    <n v="16548835"/>
    <n v="2.2478923742970425"/>
  </r>
  <r>
    <x v="29"/>
    <x v="11"/>
    <s v="NER"/>
    <s v="Sub-Saharan Africa"/>
    <n v="771"/>
    <n v="69"/>
    <n v="0.69"/>
    <n v="17176283"/>
    <n v="4.4887476527954275"/>
  </r>
  <r>
    <x v="29"/>
    <x v="12"/>
    <s v="NER"/>
    <s v="Sub-Saharan Africa"/>
    <n v="272"/>
    <n v="75"/>
    <n v="0.75"/>
    <n v="17836769"/>
    <n v="1.5249398587827201"/>
  </r>
  <r>
    <x v="29"/>
    <x v="13"/>
    <s v="NER"/>
    <s v="Sub-Saharan Africa"/>
    <n v="1224"/>
    <n v="80"/>
    <n v="0.8"/>
    <n v="18519898"/>
    <n v="6.6091076743511215"/>
  </r>
  <r>
    <x v="29"/>
    <x v="14"/>
    <s v="NER"/>
    <s v="Sub-Saharan Africa"/>
    <n v="1142"/>
    <n v="80"/>
    <n v="0.8"/>
    <n v="19215909"/>
    <n v="5.942992340357149"/>
  </r>
  <r>
    <x v="29"/>
    <x v="15"/>
    <s v="NER"/>
    <s v="Sub-Saharan Africa"/>
    <n v="7693"/>
    <n v="85"/>
    <n v="0.85"/>
    <n v="19939498"/>
    <n v="38.581713541634798"/>
  </r>
  <r>
    <x v="29"/>
    <x v="16"/>
    <s v="NER"/>
    <s v="Sub-Saharan Africa"/>
    <n v="776"/>
    <n v="76"/>
    <n v="0.76"/>
    <n v="20685753"/>
    <n v="3.7513741945966386"/>
  </r>
  <r>
    <x v="29"/>
    <x v="17"/>
    <s v="NER"/>
    <s v="Sub-Saharan Africa"/>
    <n v="1171"/>
    <n v="82"/>
    <n v="0.82"/>
    <n v="21435446"/>
    <n v="5.4629140909874234"/>
  </r>
  <r>
    <x v="29"/>
    <x v="18"/>
    <s v="NER"/>
    <s v="Sub-Saharan Africa"/>
    <n v="5034"/>
    <n v="77"/>
    <n v="0.77"/>
    <n v="22188069"/>
    <n v="22.687868872230386"/>
  </r>
  <r>
    <x v="29"/>
    <x v="19"/>
    <s v="NER"/>
    <s v="Sub-Saharan Africa"/>
    <n v="10321"/>
    <n v="79"/>
    <n v="0.79"/>
    <n v="22947757"/>
    <n v="44.976073260667697"/>
  </r>
  <r>
    <x v="29"/>
    <x v="20"/>
    <s v="NER"/>
    <s v="Sub-Saharan Africa"/>
    <n v="2754"/>
    <n v="79"/>
    <n v="0.79"/>
    <n v="23717613"/>
    <n v="11.611623817287178"/>
  </r>
  <r>
    <x v="29"/>
    <x v="21"/>
    <s v="NER"/>
    <s v="Sub-Saharan Africa"/>
    <n v="9271"/>
    <n v="80"/>
    <n v="0.8"/>
    <n v="24502140"/>
    <n v="37.837511335744551"/>
  </r>
  <r>
    <x v="29"/>
    <x v="22"/>
    <s v="NER"/>
    <s v="Sub-Saharan Africa"/>
    <n v="12898"/>
    <n v="65"/>
    <n v="0.65"/>
    <n v="25311973"/>
    <n v="50.956122622286301"/>
  </r>
  <r>
    <x v="29"/>
    <x v="23"/>
    <s v="NER"/>
    <s v="Sub-Saharan Africa"/>
    <n v="1708"/>
    <n v="80"/>
    <n v="0.8"/>
    <n v="26159867"/>
    <n v="6.5290851822755824"/>
  </r>
  <r>
    <x v="29"/>
    <x v="24"/>
    <s v="NER"/>
    <s v="Sub-Saharan Africa"/>
    <n v="2362"/>
    <n v="81"/>
    <n v="0.81"/>
    <n v="27032412"/>
    <n v="8.7376590738554878"/>
  </r>
  <r>
    <x v="30"/>
    <x v="0"/>
    <s v="NGA"/>
    <s v="Sub-Saharan Africa"/>
    <n v="212183"/>
    <n v="33"/>
    <n v="0.33"/>
    <n v="126382494"/>
    <n v="167.88954963968348"/>
  </r>
  <r>
    <x v="30"/>
    <x v="1"/>
    <s v="NGA"/>
    <s v="Sub-Saharan Africa"/>
    <n v="168107"/>
    <n v="32"/>
    <n v="0.32"/>
    <n v="129862595"/>
    <n v="129.44990048905152"/>
  </r>
  <r>
    <x v="30"/>
    <x v="2"/>
    <s v="NGA"/>
    <s v="Sub-Saharan Africa"/>
    <n v="42007"/>
    <n v="30"/>
    <n v="0.3"/>
    <n v="133471989"/>
    <n v="31.472521174461559"/>
  </r>
  <r>
    <x v="30"/>
    <x v="3"/>
    <s v="NGA"/>
    <s v="Sub-Saharan Africa"/>
    <n v="141258"/>
    <n v="34"/>
    <n v="0.34"/>
    <n v="137202644"/>
    <n v="102.95574187331258"/>
  </r>
  <r>
    <x v="30"/>
    <x v="4"/>
    <s v="NGA"/>
    <s v="Sub-Saharan Africa"/>
    <n v="31521"/>
    <n v="37"/>
    <n v="0.37"/>
    <n v="141057045"/>
    <n v="22.346278415232646"/>
  </r>
  <r>
    <x v="30"/>
    <x v="5"/>
    <s v="NGA"/>
    <s v="Sub-Saharan Africa"/>
    <n v="110927"/>
    <n v="41"/>
    <n v="0.41"/>
    <n v="145017253"/>
    <n v="76.4922777843544"/>
  </r>
  <r>
    <x v="30"/>
    <x v="6"/>
    <s v="NGA"/>
    <s v="Sub-Saharan Africa"/>
    <n v="704"/>
    <n v="44"/>
    <n v="0.44"/>
    <n v="149077334"/>
    <n v="0.4722381203838808"/>
  </r>
  <r>
    <x v="30"/>
    <x v="7"/>
    <s v="NGA"/>
    <s v="Sub-Saharan Africa"/>
    <n v="2613"/>
    <n v="41"/>
    <n v="0.41"/>
    <n v="153267261"/>
    <n v="1.7048650722609311"/>
  </r>
  <r>
    <x v="30"/>
    <x v="8"/>
    <s v="NGA"/>
    <s v="Sub-Saharan Africa"/>
    <n v="9960"/>
    <n v="53"/>
    <n v="0.53"/>
    <n v="157595014"/>
    <n v="6.3199969004095529"/>
  </r>
  <r>
    <x v="30"/>
    <x v="9"/>
    <s v="NGA"/>
    <s v="Sub-Saharan Africa"/>
    <n v="1272"/>
    <n v="64"/>
    <n v="0.64"/>
    <n v="162049464"/>
    <n v="0.78494551515455802"/>
  </r>
  <r>
    <x v="30"/>
    <x v="10"/>
    <s v="NGA"/>
    <s v="Sub-Saharan Africa"/>
    <n v="8491"/>
    <n v="56.000000000000007"/>
    <n v="0.56000000000000005"/>
    <n v="166642886"/>
    <n v="5.095327021640756"/>
  </r>
  <r>
    <x v="30"/>
    <x v="11"/>
    <s v="NGA"/>
    <s v="Sub-Saharan Africa"/>
    <n v="18843"/>
    <n v="53"/>
    <n v="0.53"/>
    <n v="171379598"/>
    <n v="10.994891002136672"/>
  </r>
  <r>
    <x v="30"/>
    <x v="12"/>
    <s v="NGA"/>
    <s v="Sub-Saharan Africa"/>
    <n v="6447"/>
    <n v="41"/>
    <n v="0.41"/>
    <n v="176200625"/>
    <n v="3.658897350676253"/>
  </r>
  <r>
    <x v="30"/>
    <x v="13"/>
    <s v="NGA"/>
    <s v="Sub-Saharan Africa"/>
    <n v="52852"/>
    <n v="42"/>
    <n v="0.42"/>
    <n v="181049443"/>
    <n v="29.19202573851608"/>
  </r>
  <r>
    <x v="30"/>
    <x v="14"/>
    <s v="NGA"/>
    <s v="Sub-Saharan Africa"/>
    <n v="6855"/>
    <n v="42"/>
    <n v="0.42"/>
    <n v="185896915"/>
    <n v="3.6875275740858853"/>
  </r>
  <r>
    <x v="30"/>
    <x v="15"/>
    <s v="NGA"/>
    <s v="Sub-Saharan Africa"/>
    <n v="12423"/>
    <n v="42"/>
    <n v="0.42"/>
    <n v="190671878"/>
    <n v="6.5153813610625901"/>
  </r>
  <r>
    <x v="30"/>
    <x v="16"/>
    <s v="NGA"/>
    <s v="Sub-Saharan Africa"/>
    <n v="17136"/>
    <n v="48"/>
    <n v="0.48"/>
    <n v="195443700"/>
    <n v="8.7677423217018511"/>
  </r>
  <r>
    <x v="30"/>
    <x v="17"/>
    <s v="NGA"/>
    <s v="Sub-Saharan Africa"/>
    <n v="11190"/>
    <n v="54"/>
    <n v="0.54"/>
    <n v="200254579"/>
    <n v="5.5878872063145186"/>
  </r>
  <r>
    <x v="30"/>
    <x v="18"/>
    <s v="NGA"/>
    <s v="Sub-Saharan Africa"/>
    <n v="7063"/>
    <n v="56.000000000000007"/>
    <n v="0.56000000000000005"/>
    <n v="204938755"/>
    <n v="3.4463954853243841"/>
  </r>
  <r>
    <x v="30"/>
    <x v="19"/>
    <s v="NGA"/>
    <s v="Sub-Saharan Africa"/>
    <n v="28094"/>
    <n v="57.999999999999993"/>
    <n v="0.57999999999999996"/>
    <n v="209485641"/>
    <n v="13.410943044062863"/>
  </r>
  <r>
    <x v="30"/>
    <x v="20"/>
    <s v="NGA"/>
    <s v="Sub-Saharan Africa"/>
    <n v="8877"/>
    <n v="60"/>
    <n v="0.6"/>
    <n v="213996181"/>
    <n v="4.1482048691326874"/>
  </r>
  <r>
    <x v="30"/>
    <x v="21"/>
    <s v="NGA"/>
    <s v="Sub-Saharan Africa"/>
    <n v="10649"/>
    <n v="56.000000000000007"/>
    <n v="0.56000000000000005"/>
    <n v="218529286"/>
    <n v="4.8730310682477587"/>
  </r>
  <r>
    <x v="30"/>
    <x v="22"/>
    <s v="NGA"/>
    <s v="Sub-Saharan Africa"/>
    <n v="23983"/>
    <n v="51"/>
    <n v="0.51"/>
    <n v="223150896"/>
    <n v="10.747436120534331"/>
  </r>
  <r>
    <x v="30"/>
    <x v="23"/>
    <s v="NGA"/>
    <s v="Sub-Saharan Africa"/>
    <n v="20143"/>
    <n v="54"/>
    <n v="0.54"/>
    <n v="227882945"/>
    <n v="8.8391871537380737"/>
  </r>
  <r>
    <x v="30"/>
    <x v="24"/>
    <s v="NGA"/>
    <s v="Sub-Saharan Africa"/>
    <n v="14999"/>
    <n v="56.999999999999993"/>
    <n v="0.56999999999999995"/>
    <n v="232679478"/>
    <n v="6.4462066568672629"/>
  </r>
  <r>
    <x v="31"/>
    <x v="0"/>
    <s v="RWA"/>
    <s v="Sub-Saharan Africa"/>
    <n v="2095"/>
    <n v="74"/>
    <n v="0.74"/>
    <n v="8213931"/>
    <n v="25.505449217920141"/>
  </r>
  <r>
    <x v="31"/>
    <x v="1"/>
    <s v="RWA"/>
    <s v="Sub-Saharan Africa"/>
    <n v="896"/>
    <n v="69"/>
    <n v="0.69"/>
    <n v="8287094"/>
    <n v="10.811992720246687"/>
  </r>
  <r>
    <x v="31"/>
    <x v="2"/>
    <s v="RWA"/>
    <s v="Sub-Saharan Africa"/>
    <n v="2738"/>
    <n v="69"/>
    <n v="0.69"/>
    <n v="8400180"/>
    <n v="32.594539640817217"/>
  </r>
  <r>
    <x v="31"/>
    <x v="3"/>
    <s v="RWA"/>
    <s v="Sub-Saharan Africa"/>
    <n v="1064"/>
    <n v="90"/>
    <n v="0.9"/>
    <n v="8586875"/>
    <n v="12.391003712060558"/>
  </r>
  <r>
    <x v="31"/>
    <x v="4"/>
    <s v="RWA"/>
    <s v="Sub-Saharan Africa"/>
    <n v="386"/>
    <n v="84"/>
    <n v="0.84"/>
    <n v="8816844"/>
    <n v="4.3779837774151389"/>
  </r>
  <r>
    <x v="31"/>
    <x v="5"/>
    <s v="RWA"/>
    <s v="Sub-Saharan Africa"/>
    <n v="129"/>
    <n v="89"/>
    <n v="0.89"/>
    <n v="9054528"/>
    <n v="1.4247015415933333"/>
  </r>
  <r>
    <x v="31"/>
    <x v="6"/>
    <s v="RWA"/>
    <s v="Sub-Saharan Africa"/>
    <n v="494"/>
    <n v="95"/>
    <n v="0.95"/>
    <n v="9299246"/>
    <n v="5.3122586497873048"/>
  </r>
  <r>
    <x v="31"/>
    <x v="7"/>
    <s v="RWA"/>
    <s v="Sub-Saharan Africa"/>
    <n v="26"/>
    <n v="94"/>
    <n v="0.94"/>
    <n v="9549933"/>
    <n v="0.27225321894928478"/>
  </r>
  <r>
    <x v="31"/>
    <x v="8"/>
    <s v="RWA"/>
    <s v="Sub-Saharan Africa"/>
    <n v="6"/>
    <n v="92"/>
    <n v="0.92"/>
    <n v="9804269"/>
    <n v="6.1197831271255408E-2"/>
  </r>
  <r>
    <x v="31"/>
    <x v="9"/>
    <s v="RWA"/>
    <s v="Sub-Saharan Africa"/>
    <n v="5"/>
    <n v="95"/>
    <n v="0.95"/>
    <n v="10060432"/>
    <n v="4.9699655044634271E-2"/>
  </r>
  <r>
    <x v="31"/>
    <x v="10"/>
    <s v="RWA"/>
    <s v="Sub-Saharan Africa"/>
    <n v="121"/>
    <n v="95"/>
    <n v="0.95"/>
    <n v="10317553"/>
    <n v="1.1727586957876543"/>
  </r>
  <r>
    <x v="31"/>
    <x v="11"/>
    <s v="RWA"/>
    <s v="Sub-Saharan Africa"/>
    <n v="31"/>
    <n v="95"/>
    <n v="0.95"/>
    <n v="10573733"/>
    <n v="0.29317933411029007"/>
  </r>
  <r>
    <x v="31"/>
    <x v="12"/>
    <s v="RWA"/>
    <s v="Sub-Saharan Africa"/>
    <n v="75"/>
    <n v="97"/>
    <n v="0.97"/>
    <n v="10829901"/>
    <n v="0.69252710620346392"/>
  </r>
  <r>
    <x v="31"/>
    <x v="13"/>
    <s v="RWA"/>
    <s v="Sub-Saharan Africa"/>
    <n v="17"/>
    <n v="95"/>
    <n v="0.95"/>
    <n v="11093340"/>
    <n v="0.15324510021328114"/>
  </r>
  <r>
    <x v="31"/>
    <x v="14"/>
    <s v="RWA"/>
    <s v="Sub-Saharan Africa"/>
    <n v="10"/>
    <n v="97"/>
    <n v="0.97"/>
    <n v="11364757"/>
    <n v="8.7991322647725773E-2"/>
  </r>
  <r>
    <x v="31"/>
    <x v="15"/>
    <s v="RWA"/>
    <s v="Sub-Saharan Africa"/>
    <n v="1"/>
    <n v="96"/>
    <n v="0.96"/>
    <n v="11640022"/>
    <n v="8.5910490547182819E-3"/>
  </r>
  <r>
    <x v="31"/>
    <x v="16"/>
    <s v="RWA"/>
    <s v="Sub-Saharan Africa"/>
    <n v="95"/>
    <n v="95"/>
    <n v="0.95"/>
    <n v="11919183"/>
    <n v="0.79703449473004984"/>
  </r>
  <r>
    <x v="31"/>
    <x v="17"/>
    <s v="RWA"/>
    <s v="Sub-Saharan Africa"/>
    <n v="145"/>
    <n v="97"/>
    <n v="0.97"/>
    <n v="12202060"/>
    <n v="1.1883239387447693"/>
  </r>
  <r>
    <x v="31"/>
    <x v="18"/>
    <s v="RWA"/>
    <s v="Sub-Saharan Africa"/>
    <n v="229"/>
    <n v="99"/>
    <n v="0.99"/>
    <n v="12487996"/>
    <n v="1.8337609973609859"/>
  </r>
  <r>
    <x v="31"/>
    <x v="19"/>
    <s v="RWA"/>
    <s v="Sub-Saharan Africa"/>
    <n v="818"/>
    <n v="96"/>
    <n v="0.96"/>
    <n v="12776103"/>
    <n v="6.4025783135906149"/>
  </r>
  <r>
    <x v="31"/>
    <x v="20"/>
    <s v="RWA"/>
    <s v="Sub-Saharan Africa"/>
    <n v="108"/>
    <n v="94"/>
    <n v="0.94"/>
    <n v="13065837"/>
    <n v="0.82658309605423674"/>
  </r>
  <r>
    <x v="31"/>
    <x v="21"/>
    <s v="RWA"/>
    <s v="Sub-Saharan Africa"/>
    <n v="40"/>
    <n v="87"/>
    <n v="0.87"/>
    <n v="13355260"/>
    <n v="0.29950745998205952"/>
  </r>
  <r>
    <x v="31"/>
    <x v="22"/>
    <s v="RWA"/>
    <s v="Sub-Saharan Africa"/>
    <n v="29"/>
    <n v="99"/>
    <n v="0.99"/>
    <n v="13651030"/>
    <n v="0.21243818232030845"/>
  </r>
  <r>
    <x v="31"/>
    <x v="23"/>
    <s v="RWA"/>
    <s v="Sub-Saharan Africa"/>
    <n v="108"/>
    <n v="96"/>
    <n v="0.96"/>
    <n v="13954471"/>
    <n v="0.77394549746815922"/>
  </r>
  <r>
    <x v="31"/>
    <x v="24"/>
    <s v="RWA"/>
    <s v="Sub-Saharan Africa"/>
    <n v="53"/>
    <n v="97"/>
    <n v="0.97"/>
    <n v="14256567"/>
    <n v="0.37175850259042026"/>
  </r>
  <r>
    <x v="32"/>
    <x v="0"/>
    <s v="SDN"/>
    <s v="Sub-Saharan Africa"/>
    <n v="2875"/>
    <n v="57.999999999999993"/>
    <n v="0.57999999999999996"/>
    <n v="27816745"/>
    <n v="10.335501152273567"/>
  </r>
  <r>
    <x v="32"/>
    <x v="1"/>
    <s v="SDN"/>
    <s v="Sub-Saharan Africa"/>
    <n v="4362"/>
    <n v="57.999999999999993"/>
    <n v="0.57999999999999996"/>
    <n v="28516770"/>
    <n v="15.296262515004328"/>
  </r>
  <r>
    <x v="32"/>
    <x v="2"/>
    <s v="SDN"/>
    <s v="Sub-Saharan Africa"/>
    <n v="4529"/>
    <n v="57.999999999999993"/>
    <n v="0.57999999999999996"/>
    <n v="29228727"/>
    <n v="15.495029940920793"/>
  </r>
  <r>
    <x v="32"/>
    <x v="3"/>
    <s v="SDN"/>
    <s v="Sub-Saharan Africa"/>
    <n v="4381"/>
    <n v="65"/>
    <n v="0.65"/>
    <n v="29896035"/>
    <n v="14.654117176408175"/>
  </r>
  <r>
    <x v="32"/>
    <x v="4"/>
    <s v="SDN"/>
    <s v="Sub-Saharan Africa"/>
    <n v="9562"/>
    <n v="67"/>
    <n v="0.67"/>
    <n v="30556637"/>
    <n v="31.292710647444611"/>
  </r>
  <r>
    <x v="32"/>
    <x v="5"/>
    <s v="SDN"/>
    <s v="Sub-Saharan Africa"/>
    <n v="1374"/>
    <n v="69"/>
    <n v="0.69"/>
    <n v="31262444"/>
    <n v="4.3950498559869473"/>
  </r>
  <r>
    <x v="32"/>
    <x v="6"/>
    <s v="SDN"/>
    <s v="Sub-Saharan Africa"/>
    <n v="228"/>
    <n v="73"/>
    <n v="0.73"/>
    <n v="31992435"/>
    <n v="0.7126684792826804"/>
  </r>
  <r>
    <x v="32"/>
    <x v="7"/>
    <s v="SDN"/>
    <s v="Sub-Saharan Africa"/>
    <n v="327"/>
    <n v="79"/>
    <n v="0.79"/>
    <n v="32764135"/>
    <n v="0.99804252424182716"/>
  </r>
  <r>
    <x v="32"/>
    <x v="8"/>
    <s v="SDN"/>
    <s v="Sub-Saharan Africa"/>
    <n v="129"/>
    <n v="79"/>
    <n v="0.79"/>
    <n v="33623980"/>
    <n v="0.38365476067972915"/>
  </r>
  <r>
    <x v="32"/>
    <x v="9"/>
    <s v="SDN"/>
    <s v="Sub-Saharan Africa"/>
    <n v="68"/>
    <n v="82"/>
    <n v="0.82"/>
    <n v="34569113"/>
    <n v="0.19670739020697467"/>
  </r>
  <r>
    <x v="32"/>
    <x v="10"/>
    <s v="SDN"/>
    <s v="Sub-Saharan Africa"/>
    <n v="680"/>
    <n v="90"/>
    <n v="0.9"/>
    <n v="35414399"/>
    <n v="1.9201229420835293"/>
  </r>
  <r>
    <x v="32"/>
    <x v="11"/>
    <s v="SDN"/>
    <s v="Sub-Saharan Africa"/>
    <n v="5616"/>
    <n v="87"/>
    <n v="0.87"/>
    <n v="36140806"/>
    <n v="15.539221787139997"/>
  </r>
  <r>
    <x v="32"/>
    <x v="12"/>
    <s v="SDN"/>
    <s v="Sub-Saharan Africa"/>
    <n v="8523"/>
    <n v="85"/>
    <n v="0.85"/>
    <n v="36923178"/>
    <n v="23.083061810118295"/>
  </r>
  <r>
    <x v="32"/>
    <x v="13"/>
    <s v="SDN"/>
    <s v="Sub-Saharan Africa"/>
    <n v="2813"/>
    <n v="85"/>
    <n v="0.85"/>
    <n v="37785849"/>
    <n v="7.4445859348032641"/>
  </r>
  <r>
    <x v="32"/>
    <x v="14"/>
    <s v="SDN"/>
    <s v="Sub-Saharan Africa"/>
    <n v="676"/>
    <n v="86"/>
    <n v="0.86"/>
    <n v="38823318"/>
    <n v="1.7412216029552134"/>
  </r>
  <r>
    <x v="32"/>
    <x v="15"/>
    <s v="SDN"/>
    <s v="Sub-Saharan Africa"/>
    <n v="3585"/>
    <n v="87"/>
    <n v="0.87"/>
    <n v="40024431"/>
    <n v="8.9570292704473431"/>
  </r>
  <r>
    <x v="32"/>
    <x v="16"/>
    <s v="SDN"/>
    <s v="Sub-Saharan Africa"/>
    <n v="1767"/>
    <n v="87"/>
    <n v="0.87"/>
    <n v="41259892"/>
    <n v="4.2826093679547199"/>
  </r>
  <r>
    <x v="32"/>
    <x v="17"/>
    <s v="SDN"/>
    <s v="Sub-Saharan Africa"/>
    <n v="665"/>
    <n v="90"/>
    <n v="0.9"/>
    <n v="42714306"/>
    <n v="1.5568554479148038"/>
  </r>
  <r>
    <x v="32"/>
    <x v="18"/>
    <s v="SDN"/>
    <s v="Sub-Saharan Africa"/>
    <n v="4980"/>
    <n v="88"/>
    <n v="0.88"/>
    <n v="44230596"/>
    <n v="11.259174531584426"/>
  </r>
  <r>
    <x v="32"/>
    <x v="19"/>
    <s v="SDN"/>
    <s v="Sub-Saharan Africa"/>
    <n v="3555"/>
    <n v="90"/>
    <n v="0.9"/>
    <n v="45548175"/>
    <n v="7.8049230292980996"/>
  </r>
  <r>
    <x v="32"/>
    <x v="20"/>
    <s v="SDN"/>
    <s v="Sub-Saharan Africa"/>
    <n v="401"/>
    <n v="86"/>
    <n v="0.86"/>
    <n v="46789231"/>
    <n v="0.85703481640892976"/>
  </r>
  <r>
    <x v="32"/>
    <x v="21"/>
    <s v="SDN"/>
    <s v="Sub-Saharan Africa"/>
    <m/>
    <n v="81"/>
    <n v="0.81"/>
    <n v="48066924"/>
    <m/>
  </r>
  <r>
    <x v="32"/>
    <x v="22"/>
    <s v="SDN"/>
    <s v="Sub-Saharan Africa"/>
    <n v="1575"/>
    <n v="80"/>
    <n v="0.8"/>
    <n v="49383346"/>
    <n v="3.1893343152568074"/>
  </r>
  <r>
    <x v="32"/>
    <x v="23"/>
    <s v="SDN"/>
    <s v="Sub-Saharan Africa"/>
    <n v="1377"/>
    <n v="51"/>
    <n v="0.51"/>
    <n v="50042791"/>
    <n v="2.7516450871015565"/>
  </r>
  <r>
    <x v="32"/>
    <x v="24"/>
    <s v="SDN"/>
    <s v="Sub-Saharan Africa"/>
    <n v="1337"/>
    <n v="46"/>
    <n v="0.46"/>
    <n v="50448963"/>
    <n v="2.6502031369802386"/>
  </r>
  <r>
    <x v="33"/>
    <x v="0"/>
    <s v="SEN"/>
    <s v="Sub-Saharan Africa"/>
    <n v="5839"/>
    <n v="48"/>
    <n v="0.48"/>
    <n v="9968260"/>
    <n v="58.575919969984731"/>
  </r>
  <r>
    <x v="33"/>
    <x v="1"/>
    <s v="SEN"/>
    <s v="Sub-Saharan Africa"/>
    <n v="24789"/>
    <n v="48"/>
    <n v="0.48"/>
    <n v="10212942"/>
    <n v="242.72144108915924"/>
  </r>
  <r>
    <x v="33"/>
    <x v="2"/>
    <s v="SEN"/>
    <s v="Sub-Saharan Africa"/>
    <n v="18184"/>
    <n v="54"/>
    <n v="0.54"/>
    <n v="10466214"/>
    <n v="173.73999805469293"/>
  </r>
  <r>
    <x v="33"/>
    <x v="3"/>
    <s v="SEN"/>
    <s v="Sub-Saharan Africa"/>
    <n v="1519"/>
    <n v="60"/>
    <n v="0.6"/>
    <n v="10721176"/>
    <n v="14.168221844320064"/>
  </r>
  <r>
    <x v="33"/>
    <x v="4"/>
    <s v="SEN"/>
    <s v="Sub-Saharan Africa"/>
    <n v="31"/>
    <n v="56.999999999999993"/>
    <n v="0.56999999999999995"/>
    <n v="10975704"/>
    <n v="0.28244201920897283"/>
  </r>
  <r>
    <x v="33"/>
    <x v="5"/>
    <s v="SEN"/>
    <s v="Sub-Saharan Africa"/>
    <n v="0"/>
    <n v="74"/>
    <n v="0.74"/>
    <n v="11235472"/>
    <n v="0"/>
  </r>
  <r>
    <x v="33"/>
    <x v="6"/>
    <s v="SEN"/>
    <s v="Sub-Saharan Africa"/>
    <n v="3"/>
    <n v="80"/>
    <n v="0.8"/>
    <n v="11500094"/>
    <n v="2.6086743290967884E-2"/>
  </r>
  <r>
    <x v="33"/>
    <x v="7"/>
    <s v="SEN"/>
    <s v="Sub-Saharan Africa"/>
    <n v="11"/>
    <n v="84"/>
    <n v="0.84"/>
    <n v="11770344"/>
    <n v="9.3455212523950032E-2"/>
  </r>
  <r>
    <x v="33"/>
    <x v="8"/>
    <s v="SEN"/>
    <s v="Sub-Saharan Africa"/>
    <n v="6"/>
    <n v="77"/>
    <n v="0.77"/>
    <n v="12048959"/>
    <n v="4.9796833070807192E-2"/>
  </r>
  <r>
    <x v="33"/>
    <x v="9"/>
    <s v="SEN"/>
    <s v="Sub-Saharan Africa"/>
    <n v="999"/>
    <n v="79"/>
    <n v="0.79"/>
    <n v="12337389"/>
    <n v="8.0973372891136037"/>
  </r>
  <r>
    <x v="33"/>
    <x v="10"/>
    <s v="SEN"/>
    <s v="Sub-Saharan Africa"/>
    <n v="428"/>
    <n v="81"/>
    <n v="0.81"/>
    <n v="12635413"/>
    <n v="3.3873051874125526"/>
  </r>
  <r>
    <x v="33"/>
    <x v="11"/>
    <s v="SEN"/>
    <s v="Sub-Saharan Africa"/>
    <n v="18"/>
    <n v="84"/>
    <n v="0.84"/>
    <n v="12958897"/>
    <n v="0.13890071045398386"/>
  </r>
  <r>
    <x v="33"/>
    <x v="12"/>
    <s v="SEN"/>
    <s v="Sub-Saharan Africa"/>
    <n v="46"/>
    <n v="83"/>
    <n v="0.83"/>
    <n v="13310495"/>
    <n v="0.34559195582132746"/>
  </r>
  <r>
    <x v="33"/>
    <x v="13"/>
    <s v="SEN"/>
    <s v="Sub-Saharan Africa"/>
    <n v="17"/>
    <n v="84"/>
    <n v="0.84"/>
    <n v="13710849"/>
    <n v="0.12398940430311792"/>
  </r>
  <r>
    <x v="33"/>
    <x v="14"/>
    <s v="SEN"/>
    <s v="Sub-Saharan Africa"/>
    <n v="32"/>
    <n v="80"/>
    <n v="0.8"/>
    <n v="14152102"/>
    <n v="0.22611482025779631"/>
  </r>
  <r>
    <x v="33"/>
    <x v="15"/>
    <s v="SEN"/>
    <s v="Sub-Saharan Africa"/>
    <n v="58"/>
    <n v="80"/>
    <n v="0.8"/>
    <n v="14593331"/>
    <n v="0.39744181777278947"/>
  </r>
  <r>
    <x v="33"/>
    <x v="16"/>
    <s v="SEN"/>
    <s v="Sub-Saharan Africa"/>
    <n v="162"/>
    <n v="93"/>
    <n v="0.93"/>
    <n v="15034521"/>
    <n v="1.0775201950231736"/>
  </r>
  <r>
    <x v="33"/>
    <x v="17"/>
    <s v="SEN"/>
    <s v="Sub-Saharan Africa"/>
    <n v="11"/>
    <n v="90"/>
    <n v="0.9"/>
    <n v="15475002"/>
    <n v="7.1082381766412697E-2"/>
  </r>
  <r>
    <x v="33"/>
    <x v="18"/>
    <s v="SEN"/>
    <s v="Sub-Saharan Africa"/>
    <n v="12"/>
    <n v="86"/>
    <n v="0.86"/>
    <n v="15914498"/>
    <n v="7.5402943906870329E-2"/>
  </r>
  <r>
    <x v="33"/>
    <x v="19"/>
    <s v="SEN"/>
    <s v="Sub-Saharan Africa"/>
    <n v="267"/>
    <n v="86"/>
    <n v="0.86"/>
    <n v="16352922"/>
    <n v="1.6327357275965728"/>
  </r>
  <r>
    <x v="33"/>
    <x v="20"/>
    <s v="SEN"/>
    <s v="Sub-Saharan Africa"/>
    <n v="212"/>
    <n v="82"/>
    <n v="0.82"/>
    <n v="16789219"/>
    <n v="1.2627150792422208"/>
  </r>
  <r>
    <x v="33"/>
    <x v="21"/>
    <s v="SEN"/>
    <s v="Sub-Saharan Africa"/>
    <n v="187"/>
    <n v="88"/>
    <n v="0.88"/>
    <n v="17220867"/>
    <n v="1.0858919007968646"/>
  </r>
  <r>
    <x v="33"/>
    <x v="22"/>
    <s v="SEN"/>
    <s v="Sub-Saharan Africa"/>
    <n v="508"/>
    <n v="87"/>
    <n v="0.87"/>
    <n v="17651103"/>
    <n v="2.8780071137764027"/>
  </r>
  <r>
    <x v="33"/>
    <x v="23"/>
    <s v="SEN"/>
    <s v="Sub-Saharan Africa"/>
    <n v="564"/>
    <n v="87"/>
    <n v="0.87"/>
    <n v="18077573"/>
    <n v="3.1198878300754198"/>
  </r>
  <r>
    <x v="33"/>
    <x v="24"/>
    <s v="SEN"/>
    <s v="Sub-Saharan Africa"/>
    <n v="496"/>
    <n v="87"/>
    <n v="0.87"/>
    <n v="18501984"/>
    <n v="2.6807935840826587"/>
  </r>
  <r>
    <x v="34"/>
    <x v="0"/>
    <s v="SLE"/>
    <s v="Sub-Saharan Africa"/>
    <n v="3575"/>
    <n v="37"/>
    <n v="0.37"/>
    <n v="4423611"/>
    <n v="80.816328560535723"/>
  </r>
  <r>
    <x v="34"/>
    <x v="1"/>
    <s v="SLE"/>
    <s v="Sub-Saharan Africa"/>
    <n v="649"/>
    <n v="50"/>
    <n v="0.5"/>
    <n v="4692716"/>
    <n v="13.829944109125718"/>
  </r>
  <r>
    <x v="34"/>
    <x v="2"/>
    <s v="SLE"/>
    <s v="Sub-Saharan Africa"/>
    <n v="568"/>
    <n v="62"/>
    <n v="0.62"/>
    <n v="4971435"/>
    <n v="11.425272582262465"/>
  </r>
  <r>
    <x v="34"/>
    <x v="3"/>
    <s v="SLE"/>
    <s v="Sub-Saharan Africa"/>
    <n v="586"/>
    <n v="73"/>
    <n v="0.73"/>
    <n v="5177687"/>
    <n v="11.317794992242675"/>
  </r>
  <r>
    <x v="34"/>
    <x v="4"/>
    <s v="SLE"/>
    <s v="Sub-Saharan Africa"/>
    <n v="7"/>
    <n v="76"/>
    <n v="0.76"/>
    <n v="5355717"/>
    <n v="0.13070145416570741"/>
  </r>
  <r>
    <x v="34"/>
    <x v="5"/>
    <s v="SLE"/>
    <s v="Sub-Saharan Africa"/>
    <n v="29"/>
    <n v="71"/>
    <n v="0.71"/>
    <n v="5501712"/>
    <n v="0.52710865272482466"/>
  </r>
  <r>
    <x v="34"/>
    <x v="6"/>
    <s v="SLE"/>
    <s v="Sub-Saharan Africa"/>
    <n v="33"/>
    <n v="65"/>
    <n v="0.65"/>
    <n v="5624466"/>
    <n v="0.58672236617662898"/>
  </r>
  <r>
    <x v="34"/>
    <x v="7"/>
    <s v="SLE"/>
    <s v="Sub-Saharan Africa"/>
    <n v="0"/>
    <n v="60"/>
    <n v="0.6"/>
    <n v="5749352"/>
    <n v="0"/>
  </r>
  <r>
    <x v="34"/>
    <x v="8"/>
    <s v="SLE"/>
    <s v="Sub-Saharan Africa"/>
    <n v="44"/>
    <n v="73"/>
    <n v="0.73"/>
    <n v="5894722"/>
    <n v="0.74643045083381365"/>
  </r>
  <r>
    <x v="34"/>
    <x v="9"/>
    <s v="SLE"/>
    <s v="Sub-Saharan Africa"/>
    <n v="31"/>
    <n v="80"/>
    <n v="0.8"/>
    <n v="6055646"/>
    <n v="0.51191895959572276"/>
  </r>
  <r>
    <x v="34"/>
    <x v="10"/>
    <s v="SLE"/>
    <s v="Sub-Saharan Africa"/>
    <n v="1089"/>
    <n v="82"/>
    <n v="0.82"/>
    <n v="6222714"/>
    <n v="17.500402557469297"/>
  </r>
  <r>
    <x v="34"/>
    <x v="11"/>
    <s v="SLE"/>
    <s v="Sub-Saharan Africa"/>
    <n v="1865"/>
    <n v="84"/>
    <n v="0.84"/>
    <n v="6387251"/>
    <n v="29.198789901946864"/>
  </r>
  <r>
    <x v="34"/>
    <x v="12"/>
    <s v="SLE"/>
    <s v="Sub-Saharan Africa"/>
    <n v="678"/>
    <n v="86"/>
    <n v="0.86"/>
    <n v="6551080"/>
    <n v="10.34943856585479"/>
  </r>
  <r>
    <x v="34"/>
    <x v="13"/>
    <s v="SLE"/>
    <s v="Sub-Saharan Africa"/>
    <n v="15"/>
    <n v="85"/>
    <n v="0.85"/>
    <n v="6714051"/>
    <n v="0.22341206523453577"/>
  </r>
  <r>
    <x v="34"/>
    <x v="14"/>
    <s v="SLE"/>
    <s v="Sub-Saharan Africa"/>
    <n v="1006"/>
    <n v="80"/>
    <n v="0.8"/>
    <n v="6876385"/>
    <n v="14.629780037039811"/>
  </r>
  <r>
    <x v="34"/>
    <x v="15"/>
    <s v="SLE"/>
    <s v="Sub-Saharan Africa"/>
    <n v="607"/>
    <n v="78"/>
    <n v="0.78"/>
    <n v="7037655"/>
    <n v="8.6250320596846546"/>
  </r>
  <r>
    <x v="34"/>
    <x v="16"/>
    <s v="SLE"/>
    <s v="Sub-Saharan Africa"/>
    <n v="920"/>
    <n v="85"/>
    <n v="0.85"/>
    <n v="7205328"/>
    <n v="12.7683292141593"/>
  </r>
  <r>
    <x v="34"/>
    <x v="17"/>
    <s v="SLE"/>
    <s v="Sub-Saharan Africa"/>
    <n v="1873"/>
    <n v="80"/>
    <n v="0.8"/>
    <n v="7379299"/>
    <n v="25.381814722509549"/>
  </r>
  <r>
    <x v="34"/>
    <x v="18"/>
    <s v="SLE"/>
    <s v="Sub-Saharan Africa"/>
    <n v="344"/>
    <n v="87"/>
    <n v="0.87"/>
    <n v="7554563"/>
    <n v="4.5535393642226563"/>
  </r>
  <r>
    <x v="34"/>
    <x v="19"/>
    <s v="SLE"/>
    <s v="Sub-Saharan Africa"/>
    <n v="40"/>
    <n v="93"/>
    <n v="0.93"/>
    <n v="7731991"/>
    <n v="0.51733117640721515"/>
  </r>
  <r>
    <x v="34"/>
    <x v="20"/>
    <s v="SLE"/>
    <s v="Sub-Saharan Africa"/>
    <n v="17"/>
    <n v="87"/>
    <n v="0.87"/>
    <n v="7912558"/>
    <n v="0.21484834613534587"/>
  </r>
  <r>
    <x v="34"/>
    <x v="21"/>
    <s v="SLE"/>
    <s v="Sub-Saharan Africa"/>
    <n v="170"/>
    <n v="87"/>
    <n v="0.87"/>
    <n v="8094602"/>
    <n v="2.1001650235552041"/>
  </r>
  <r>
    <x v="34"/>
    <x v="22"/>
    <s v="SLE"/>
    <s v="Sub-Saharan Africa"/>
    <n v="731"/>
    <n v="90"/>
    <n v="0.9"/>
    <n v="8276807"/>
    <n v="8.8319082467429766"/>
  </r>
  <r>
    <x v="34"/>
    <x v="23"/>
    <s v="SLE"/>
    <s v="Sub-Saharan Africa"/>
    <n v="645"/>
    <n v="90"/>
    <n v="0.9"/>
    <n v="8460512"/>
    <n v="7.6236520910318424"/>
  </r>
  <r>
    <x v="34"/>
    <x v="24"/>
    <s v="SLE"/>
    <s v="Sub-Saharan Africa"/>
    <n v="129"/>
    <n v="90"/>
    <n v="0.9"/>
    <n v="8642022"/>
    <n v="1.4927062208358184"/>
  </r>
  <r>
    <x v="35"/>
    <x v="0"/>
    <s v="SOM"/>
    <s v="Sub-Saharan Africa"/>
    <n v="3965"/>
    <n v="24"/>
    <n v="0.24"/>
    <n v="8838713"/>
    <n v="44.859472187862643"/>
  </r>
  <r>
    <x v="35"/>
    <x v="1"/>
    <s v="SOM"/>
    <s v="Sub-Saharan Africa"/>
    <n v="3571"/>
    <n v="20"/>
    <n v="0.2"/>
    <n v="9198493"/>
    <n v="38.821576534330134"/>
  </r>
  <r>
    <x v="35"/>
    <x v="2"/>
    <s v="SOM"/>
    <s v="Sub-Saharan Africa"/>
    <n v="9559"/>
    <n v="45"/>
    <n v="0.45"/>
    <n v="9550063"/>
    <n v="100.0935805344949"/>
  </r>
  <r>
    <x v="35"/>
    <x v="3"/>
    <s v="SOM"/>
    <s v="Sub-Saharan Africa"/>
    <n v="8257"/>
    <n v="40"/>
    <n v="0.4"/>
    <n v="9909157"/>
    <n v="83.326967167842838"/>
  </r>
  <r>
    <x v="35"/>
    <x v="4"/>
    <s v="SOM"/>
    <s v="Sub-Saharan Africa"/>
    <n v="12008"/>
    <n v="40"/>
    <n v="0.4"/>
    <n v="10280998"/>
    <n v="116.79799957163691"/>
  </r>
  <r>
    <x v="35"/>
    <x v="5"/>
    <s v="SOM"/>
    <s v="Sub-Saharan Africa"/>
    <m/>
    <n v="35"/>
    <n v="0.35"/>
    <n v="10644228"/>
    <m/>
  </r>
  <r>
    <x v="35"/>
    <x v="6"/>
    <s v="SOM"/>
    <s v="Sub-Saharan Africa"/>
    <n v="7"/>
    <n v="35"/>
    <n v="0.35"/>
    <n v="10975502"/>
    <n v="6.3778403939974679E-2"/>
  </r>
  <r>
    <x v="35"/>
    <x v="7"/>
    <s v="SOM"/>
    <s v="Sub-Saharan Africa"/>
    <n v="1149"/>
    <n v="35"/>
    <n v="0.35"/>
    <n v="11322582"/>
    <n v="10.147862033589158"/>
  </r>
  <r>
    <x v="35"/>
    <x v="8"/>
    <s v="SOM"/>
    <s v="Sub-Saharan Africa"/>
    <n v="1081"/>
    <n v="34"/>
    <n v="0.34"/>
    <n v="11663084"/>
    <n v="9.2685605282445032"/>
  </r>
  <r>
    <x v="35"/>
    <x v="9"/>
    <s v="SOM"/>
    <s v="Sub-Saharan Africa"/>
    <n v="13"/>
    <n v="43"/>
    <n v="0.43"/>
    <n v="11961201"/>
    <n v="0.10868473826332321"/>
  </r>
  <r>
    <x v="35"/>
    <x v="10"/>
    <s v="SOM"/>
    <s v="Sub-Saharan Africa"/>
    <n v="115"/>
    <n v="46"/>
    <n v="0.46"/>
    <n v="12261756"/>
    <n v="0.93787545601135758"/>
  </r>
  <r>
    <x v="35"/>
    <x v="11"/>
    <s v="SOM"/>
    <s v="Sub-Saharan Africa"/>
    <n v="17298"/>
    <n v="46"/>
    <n v="0.46"/>
    <n v="12348830"/>
    <n v="140.07804787983963"/>
  </r>
  <r>
    <x v="35"/>
    <x v="12"/>
    <s v="SOM"/>
    <s v="Sub-Saharan Africa"/>
    <n v="9983"/>
    <n v="46"/>
    <n v="0.46"/>
    <n v="12461160"/>
    <n v="80.112926886421491"/>
  </r>
  <r>
    <x v="35"/>
    <x v="13"/>
    <s v="SOM"/>
    <s v="Sub-Saharan Africa"/>
    <n v="3173"/>
    <n v="47"/>
    <n v="0.47"/>
    <n v="12869594"/>
    <n v="24.655012426965452"/>
  </r>
  <r>
    <x v="35"/>
    <x v="14"/>
    <s v="SOM"/>
    <s v="Sub-Saharan Africa"/>
    <n v="10229"/>
    <n v="48"/>
    <n v="0.48"/>
    <n v="13339491"/>
    <n v="76.682086295496589"/>
  </r>
  <r>
    <x v="35"/>
    <x v="15"/>
    <s v="SOM"/>
    <s v="Sub-Saharan Africa"/>
    <n v="7497"/>
    <n v="50"/>
    <n v="0.5"/>
    <n v="13806963"/>
    <n v="54.298689726335908"/>
  </r>
  <r>
    <x v="35"/>
    <x v="16"/>
    <s v="SOM"/>
    <s v="Sub-Saharan Africa"/>
    <n v="26"/>
    <n v="51"/>
    <n v="0.51"/>
    <n v="14348740"/>
    <n v="0.18120057928431346"/>
  </r>
  <r>
    <x v="35"/>
    <x v="17"/>
    <s v="SOM"/>
    <s v="Sub-Saharan Africa"/>
    <n v="23039"/>
    <n v="52"/>
    <n v="0.52"/>
    <n v="14916629"/>
    <n v="154.45178666037748"/>
  </r>
  <r>
    <x v="35"/>
    <x v="18"/>
    <s v="SOM"/>
    <s v="Sub-Saharan Africa"/>
    <n v="9126"/>
    <n v="53"/>
    <n v="0.53"/>
    <n v="15452487"/>
    <n v="59.058454474027386"/>
  </r>
  <r>
    <x v="35"/>
    <x v="19"/>
    <s v="SOM"/>
    <s v="Sub-Saharan Africa"/>
    <n v="283"/>
    <n v="52"/>
    <n v="0.52"/>
    <n v="16030971"/>
    <n v="1.7653328672355528"/>
  </r>
  <r>
    <x v="35"/>
    <x v="20"/>
    <s v="SOM"/>
    <s v="Sub-Saharan Africa"/>
    <n v="2531"/>
    <n v="52"/>
    <n v="0.52"/>
    <n v="16651191"/>
    <n v="15.200113913773494"/>
  </r>
  <r>
    <x v="35"/>
    <x v="21"/>
    <s v="SOM"/>
    <s v="Sub-Saharan Africa"/>
    <n v="7191"/>
    <n v="57.999999999999993"/>
    <n v="0.57999999999999996"/>
    <n v="17271431"/>
    <n v="41.635229877593808"/>
  </r>
  <r>
    <x v="35"/>
    <x v="22"/>
    <s v="SOM"/>
    <s v="Sub-Saharan Africa"/>
    <n v="17361"/>
    <n v="69"/>
    <n v="0.69"/>
    <n v="17801897"/>
    <n v="97.523314509683999"/>
  </r>
  <r>
    <x v="35"/>
    <x v="23"/>
    <s v="SOM"/>
    <s v="Sub-Saharan Africa"/>
    <n v="3167"/>
    <n v="63"/>
    <n v="0.63"/>
    <n v="18358615"/>
    <n v="17.250756661109786"/>
  </r>
  <r>
    <x v="35"/>
    <x v="24"/>
    <s v="SOM"/>
    <s v="Sub-Saharan Africa"/>
    <n v="1529"/>
    <n v="64"/>
    <n v="0.64"/>
    <n v="19009151"/>
    <n v="8.0434944201348078"/>
  </r>
  <r>
    <x v="36"/>
    <x v="11"/>
    <s v="SSD"/>
    <s v="Sub-Saharan Africa"/>
    <n v="1256"/>
    <n v="62"/>
    <n v="0.62"/>
    <n v="10288109"/>
    <n v="12.208268788754085"/>
  </r>
  <r>
    <x v="36"/>
    <x v="12"/>
    <s v="SSD"/>
    <s v="Sub-Saharan Africa"/>
    <n v="1952"/>
    <n v="59"/>
    <n v="0.59"/>
    <n v="10756240"/>
    <n v="18.14760548295687"/>
  </r>
  <r>
    <x v="36"/>
    <x v="13"/>
    <s v="SSD"/>
    <s v="Sub-Saharan Africa"/>
    <n v="525"/>
    <n v="56.999999999999993"/>
    <n v="0.56999999999999995"/>
    <n v="11166275"/>
    <n v="4.7016574461940088"/>
  </r>
  <r>
    <x v="36"/>
    <x v="14"/>
    <s v="SSD"/>
    <s v="Sub-Saharan Africa"/>
    <n v="441"/>
    <n v="54"/>
    <n v="0.54"/>
    <n v="11235073"/>
    <n v="3.9252081406146626"/>
  </r>
  <r>
    <x v="36"/>
    <x v="15"/>
    <s v="SSD"/>
    <s v="Sub-Saharan Africa"/>
    <n v="878"/>
    <n v="52"/>
    <n v="0.52"/>
    <n v="11107561"/>
    <n v="7.9045255749664571"/>
  </r>
  <r>
    <x v="36"/>
    <x v="16"/>
    <s v="SSD"/>
    <s v="Sub-Saharan Africa"/>
    <n v="898"/>
    <n v="51"/>
    <n v="0.51"/>
    <n v="10830102"/>
    <n v="8.291703993184921"/>
  </r>
  <r>
    <x v="36"/>
    <x v="17"/>
    <s v="SSD"/>
    <s v="Sub-Saharan Africa"/>
    <n v="487"/>
    <n v="56.000000000000007"/>
    <n v="0.56000000000000005"/>
    <n v="10259154"/>
    <n v="4.7469801116154411"/>
  </r>
  <r>
    <x v="36"/>
    <x v="18"/>
    <s v="SSD"/>
    <s v="Sub-Saharan Africa"/>
    <n v="263"/>
    <n v="61"/>
    <n v="0.61"/>
    <n v="10122977"/>
    <n v="2.5980499609946759"/>
  </r>
  <r>
    <x v="36"/>
    <x v="19"/>
    <s v="SSD"/>
    <s v="Sub-Saharan Africa"/>
    <n v="3401"/>
    <n v="65"/>
    <n v="0.65"/>
    <n v="10423384"/>
    <n v="32.628559016918118"/>
  </r>
  <r>
    <x v="36"/>
    <x v="20"/>
    <s v="SSD"/>
    <s v="Sub-Saharan Africa"/>
    <n v="1290"/>
    <n v="69"/>
    <n v="0.69"/>
    <n v="10698467"/>
    <n v="12.057802300086545"/>
  </r>
  <r>
    <x v="36"/>
    <x v="21"/>
    <s v="SSD"/>
    <s v="Sub-Saharan Africa"/>
    <m/>
    <n v="74"/>
    <n v="0.74"/>
    <n v="10865780"/>
    <m/>
  </r>
  <r>
    <x v="36"/>
    <x v="22"/>
    <s v="SSD"/>
    <s v="Sub-Saharan Africa"/>
    <n v="3608"/>
    <n v="72"/>
    <n v="0.72"/>
    <n v="11021177"/>
    <n v="32.736975370234958"/>
  </r>
  <r>
    <x v="36"/>
    <x v="23"/>
    <s v="SSD"/>
    <s v="Sub-Saharan Africa"/>
    <n v="7957"/>
    <n v="72"/>
    <n v="0.72"/>
    <n v="11483374"/>
    <n v="69.291481754404231"/>
  </r>
  <r>
    <x v="36"/>
    <x v="24"/>
    <s v="SSD"/>
    <s v="Sub-Saharan Africa"/>
    <n v="3114"/>
    <n v="72"/>
    <n v="0.72"/>
    <n v="11943408"/>
    <n v="26.072960079736035"/>
  </r>
  <r>
    <x v="37"/>
    <x v="0"/>
    <s v="STP"/>
    <s v="Sub-Saharan Africa"/>
    <n v="0"/>
    <n v="69"/>
    <n v="0.69"/>
    <n v="144018"/>
    <n v="0"/>
  </r>
  <r>
    <x v="37"/>
    <x v="1"/>
    <s v="STP"/>
    <s v="Sub-Saharan Africa"/>
    <n v="0"/>
    <n v="75"/>
    <n v="0.75"/>
    <n v="146375"/>
    <n v="0"/>
  </r>
  <r>
    <x v="37"/>
    <x v="2"/>
    <s v="STP"/>
    <s v="Sub-Saharan Africa"/>
    <n v="0"/>
    <n v="85"/>
    <n v="0.85"/>
    <n v="149922"/>
    <n v="0"/>
  </r>
  <r>
    <x v="37"/>
    <x v="3"/>
    <s v="STP"/>
    <s v="Sub-Saharan Africa"/>
    <n v="0"/>
    <n v="87"/>
    <n v="0.87"/>
    <n v="153814"/>
    <n v="0"/>
  </r>
  <r>
    <x v="37"/>
    <x v="4"/>
    <s v="STP"/>
    <s v="Sub-Saharan Africa"/>
    <n v="0"/>
    <n v="91"/>
    <n v="0.91"/>
    <n v="157705"/>
    <n v="0"/>
  </r>
  <r>
    <x v="37"/>
    <x v="5"/>
    <s v="STP"/>
    <s v="Sub-Saharan Africa"/>
    <n v="0"/>
    <n v="88"/>
    <n v="0.88"/>
    <n v="161639"/>
    <n v="0"/>
  </r>
  <r>
    <x v="37"/>
    <x v="6"/>
    <s v="STP"/>
    <s v="Sub-Saharan Africa"/>
    <n v="0"/>
    <n v="85"/>
    <n v="0.85"/>
    <n v="165638"/>
    <n v="0"/>
  </r>
  <r>
    <x v="37"/>
    <x v="7"/>
    <s v="STP"/>
    <s v="Sub-Saharan Africa"/>
    <n v="0"/>
    <n v="86"/>
    <n v="0.86"/>
    <n v="169700"/>
    <n v="0"/>
  </r>
  <r>
    <x v="37"/>
    <x v="8"/>
    <s v="STP"/>
    <s v="Sub-Saharan Africa"/>
    <n v="0"/>
    <n v="93"/>
    <n v="0.93"/>
    <n v="173793"/>
    <n v="0"/>
  </r>
  <r>
    <x v="37"/>
    <x v="9"/>
    <s v="STP"/>
    <s v="Sub-Saharan Africa"/>
    <n v="0"/>
    <n v="90"/>
    <n v="0.9"/>
    <n v="177853"/>
    <n v="0"/>
  </r>
  <r>
    <x v="37"/>
    <x v="10"/>
    <s v="STP"/>
    <s v="Sub-Saharan Africa"/>
    <n v="0"/>
    <n v="92"/>
    <n v="0.92"/>
    <n v="181802"/>
    <n v="0"/>
  </r>
  <r>
    <x v="37"/>
    <x v="11"/>
    <s v="STP"/>
    <s v="Sub-Saharan Africa"/>
    <n v="0"/>
    <n v="91"/>
    <n v="0.91"/>
    <n v="185649"/>
    <n v="0"/>
  </r>
  <r>
    <x v="37"/>
    <x v="12"/>
    <s v="STP"/>
    <s v="Sub-Saharan Africa"/>
    <n v="0"/>
    <n v="92"/>
    <n v="0.92"/>
    <n v="189439"/>
    <n v="0"/>
  </r>
  <r>
    <x v="37"/>
    <x v="13"/>
    <s v="STP"/>
    <s v="Sub-Saharan Africa"/>
    <n v="0"/>
    <n v="91"/>
    <n v="0.91"/>
    <n v="193148"/>
    <n v="0"/>
  </r>
  <r>
    <x v="37"/>
    <x v="14"/>
    <s v="STP"/>
    <s v="Sub-Saharan Africa"/>
    <n v="0"/>
    <n v="92"/>
    <n v="0.92"/>
    <n v="196767"/>
    <n v="0"/>
  </r>
  <r>
    <x v="37"/>
    <x v="15"/>
    <s v="STP"/>
    <s v="Sub-Saharan Africa"/>
    <n v="3"/>
    <n v="93"/>
    <n v="0.93"/>
    <n v="200291"/>
    <n v="1.497820670923806"/>
  </r>
  <r>
    <x v="37"/>
    <x v="16"/>
    <s v="STP"/>
    <s v="Sub-Saharan Africa"/>
    <n v="0"/>
    <n v="93"/>
    <n v="0.93"/>
    <n v="203689"/>
    <n v="0"/>
  </r>
  <r>
    <x v="37"/>
    <x v="17"/>
    <s v="STP"/>
    <s v="Sub-Saharan Africa"/>
    <n v="0"/>
    <n v="90"/>
    <n v="0.9"/>
    <n v="206970"/>
    <n v="0"/>
  </r>
  <r>
    <x v="37"/>
    <x v="18"/>
    <s v="STP"/>
    <s v="Sub-Saharan Africa"/>
    <n v="0"/>
    <n v="95"/>
    <n v="0.95"/>
    <n v="210187"/>
    <n v="0"/>
  </r>
  <r>
    <x v="37"/>
    <x v="19"/>
    <s v="STP"/>
    <s v="Sub-Saharan Africa"/>
    <n v="0"/>
    <n v="95"/>
    <n v="0.95"/>
    <n v="213392"/>
    <n v="0"/>
  </r>
  <r>
    <x v="37"/>
    <x v="20"/>
    <s v="STP"/>
    <s v="Sub-Saharan Africa"/>
    <m/>
    <n v="86"/>
    <n v="0.86"/>
    <n v="217435"/>
    <m/>
  </r>
  <r>
    <x v="37"/>
    <x v="21"/>
    <s v="STP"/>
    <s v="Sub-Saharan Africa"/>
    <n v="0"/>
    <n v="77"/>
    <n v="0.77"/>
    <n v="221961"/>
    <n v="0"/>
  </r>
  <r>
    <x v="37"/>
    <x v="22"/>
    <s v="STP"/>
    <s v="Sub-Saharan Africa"/>
    <m/>
    <n v="82"/>
    <n v="0.82"/>
    <n v="226305"/>
    <m/>
  </r>
  <r>
    <x v="37"/>
    <x v="23"/>
    <s v="STP"/>
    <s v="Sub-Saharan Africa"/>
    <m/>
    <n v="87"/>
    <n v="0.87"/>
    <n v="230871"/>
    <m/>
  </r>
  <r>
    <x v="37"/>
    <x v="24"/>
    <s v="STP"/>
    <s v="Sub-Saharan Africa"/>
    <m/>
    <n v="87"/>
    <n v="0.87"/>
    <n v="235536"/>
    <m/>
  </r>
  <r>
    <x v="38"/>
    <x v="0"/>
    <s v="SWZ"/>
    <s v="Sub-Saharan Africa"/>
    <n v="10"/>
    <n v="92"/>
    <n v="0.92"/>
    <n v="1041414"/>
    <n v="0.96023291409564304"/>
  </r>
  <r>
    <x v="38"/>
    <x v="1"/>
    <s v="SWZ"/>
    <s v="Sub-Saharan Africa"/>
    <n v="49"/>
    <n v="93"/>
    <n v="0.93"/>
    <n v="1051064"/>
    <n v="4.6619425648676014"/>
  </r>
  <r>
    <x v="38"/>
    <x v="2"/>
    <s v="SWZ"/>
    <s v="Sub-Saharan Africa"/>
    <n v="37"/>
    <n v="93"/>
    <n v="0.93"/>
    <n v="1059441"/>
    <n v="3.4924077886357052"/>
  </r>
  <r>
    <x v="38"/>
    <x v="3"/>
    <s v="SWZ"/>
    <s v="Sub-Saharan Africa"/>
    <n v="350"/>
    <n v="93"/>
    <n v="0.93"/>
    <n v="1066700"/>
    <n v="32.811474641417455"/>
  </r>
  <r>
    <x v="38"/>
    <x v="4"/>
    <s v="SWZ"/>
    <s v="Sub-Saharan Africa"/>
    <n v="0"/>
    <n v="93"/>
    <n v="0.93"/>
    <n v="1073159"/>
    <n v="0"/>
  </r>
  <r>
    <x v="38"/>
    <x v="5"/>
    <s v="SWZ"/>
    <s v="Sub-Saharan Africa"/>
    <n v="0"/>
    <n v="93"/>
    <n v="0.93"/>
    <n v="1079022"/>
    <n v="0"/>
  </r>
  <r>
    <x v="38"/>
    <x v="6"/>
    <s v="SWZ"/>
    <s v="Sub-Saharan Africa"/>
    <n v="0"/>
    <n v="93"/>
    <n v="0.93"/>
    <n v="1084436"/>
    <n v="0"/>
  </r>
  <r>
    <x v="38"/>
    <x v="7"/>
    <s v="SWZ"/>
    <s v="Sub-Saharan Africa"/>
    <n v="0"/>
    <n v="94"/>
    <n v="0.94"/>
    <n v="1090705"/>
    <n v="0"/>
  </r>
  <r>
    <x v="38"/>
    <x v="8"/>
    <s v="SWZ"/>
    <s v="Sub-Saharan Africa"/>
    <n v="1"/>
    <n v="94"/>
    <n v="0.94"/>
    <n v="1098091"/>
    <n v="9.1067133780351542E-2"/>
  </r>
  <r>
    <x v="38"/>
    <x v="9"/>
    <s v="SWZ"/>
    <s v="Sub-Saharan Africa"/>
    <n v="26"/>
    <n v="94"/>
    <n v="0.94"/>
    <n v="1105153"/>
    <n v="2.3526154297187811"/>
  </r>
  <r>
    <x v="38"/>
    <x v="10"/>
    <s v="SWZ"/>
    <s v="Sub-Saharan Africa"/>
    <n v="313"/>
    <n v="94"/>
    <n v="0.94"/>
    <n v="1111650"/>
    <n v="28.156344173076057"/>
  </r>
  <r>
    <x v="38"/>
    <x v="11"/>
    <s v="SWZ"/>
    <s v="Sub-Saharan Africa"/>
    <n v="0"/>
    <n v="87"/>
    <n v="0.87"/>
    <n v="1117833"/>
    <n v="0"/>
  </r>
  <r>
    <x v="38"/>
    <x v="12"/>
    <s v="SWZ"/>
    <s v="Sub-Saharan Africa"/>
    <n v="0"/>
    <n v="88"/>
    <n v="0.88"/>
    <n v="1123863"/>
    <n v="0"/>
  </r>
  <r>
    <x v="38"/>
    <x v="13"/>
    <s v="SWZ"/>
    <s v="Sub-Saharan Africa"/>
    <n v="0"/>
    <n v="97"/>
    <n v="0.97"/>
    <n v="1129990"/>
    <n v="0"/>
  </r>
  <r>
    <x v="38"/>
    <x v="14"/>
    <s v="SWZ"/>
    <s v="Sub-Saharan Africa"/>
    <n v="0"/>
    <n v="97"/>
    <n v="0.97"/>
    <n v="1136299"/>
    <n v="0"/>
  </r>
  <r>
    <x v="38"/>
    <x v="15"/>
    <s v="SWZ"/>
    <s v="Sub-Saharan Africa"/>
    <n v="0"/>
    <n v="89"/>
    <n v="0.89"/>
    <n v="1142813"/>
    <n v="0"/>
  </r>
  <r>
    <x v="38"/>
    <x v="16"/>
    <s v="SWZ"/>
    <s v="Sub-Saharan Africa"/>
    <n v="1"/>
    <n v="89"/>
    <n v="0.89"/>
    <n v="1149507"/>
    <n v="8.699381560964832E-2"/>
  </r>
  <r>
    <x v="38"/>
    <x v="17"/>
    <s v="SWZ"/>
    <s v="Sub-Saharan Africa"/>
    <n v="0"/>
    <n v="89"/>
    <n v="0.89"/>
    <n v="1158195"/>
    <n v="0"/>
  </r>
  <r>
    <x v="38"/>
    <x v="18"/>
    <s v="SWZ"/>
    <s v="Sub-Saharan Africa"/>
    <n v="0"/>
    <n v="85"/>
    <n v="0.85"/>
    <n v="1168929"/>
    <n v="0"/>
  </r>
  <r>
    <x v="38"/>
    <x v="19"/>
    <s v="SWZ"/>
    <s v="Sub-Saharan Africa"/>
    <n v="0"/>
    <n v="81"/>
    <n v="0.81"/>
    <n v="1179874"/>
    <n v="0"/>
  </r>
  <r>
    <x v="38"/>
    <x v="20"/>
    <s v="SWZ"/>
    <s v="Sub-Saharan Africa"/>
    <n v="0"/>
    <n v="76"/>
    <n v="0.76"/>
    <n v="1192729"/>
    <n v="0"/>
  </r>
  <r>
    <x v="38"/>
    <x v="21"/>
    <s v="SWZ"/>
    <s v="Sub-Saharan Africa"/>
    <n v="0"/>
    <n v="80"/>
    <n v="0.8"/>
    <n v="1206593"/>
    <n v="0"/>
  </r>
  <r>
    <x v="38"/>
    <x v="22"/>
    <s v="SWZ"/>
    <s v="Sub-Saharan Africa"/>
    <n v="64"/>
    <n v="83"/>
    <n v="0.83"/>
    <n v="1218917"/>
    <n v="5.2505625895774699"/>
  </r>
  <r>
    <x v="38"/>
    <x v="23"/>
    <s v="SWZ"/>
    <s v="Sub-Saharan Africa"/>
    <n v="3"/>
    <n v="85"/>
    <n v="0.85"/>
    <n v="1230506"/>
    <n v="0.24380214318337334"/>
  </r>
  <r>
    <x v="38"/>
    <x v="24"/>
    <s v="SWZ"/>
    <s v="Sub-Saharan Africa"/>
    <n v="0"/>
    <n v="85"/>
    <n v="0.85"/>
    <n v="1242822"/>
    <n v="0"/>
  </r>
  <r>
    <x v="39"/>
    <x v="0"/>
    <s v="SYC"/>
    <s v="Sub-Saharan Africa"/>
    <m/>
    <n v="97"/>
    <n v="0.97"/>
    <n v="81131"/>
    <m/>
  </r>
  <r>
    <x v="39"/>
    <x v="1"/>
    <s v="SYC"/>
    <s v="Sub-Saharan Africa"/>
    <n v="0"/>
    <n v="95"/>
    <n v="0.95"/>
    <n v="81202"/>
    <n v="0"/>
  </r>
  <r>
    <x v="39"/>
    <x v="2"/>
    <s v="SYC"/>
    <s v="Sub-Saharan Africa"/>
    <n v="0"/>
    <n v="98"/>
    <n v="0.98"/>
    <n v="83723"/>
    <n v="0"/>
  </r>
  <r>
    <x v="39"/>
    <x v="3"/>
    <s v="SYC"/>
    <s v="Sub-Saharan Africa"/>
    <n v="0"/>
    <n v="99"/>
    <n v="0.99"/>
    <n v="82781"/>
    <n v="0"/>
  </r>
  <r>
    <x v="39"/>
    <x v="4"/>
    <s v="SYC"/>
    <s v="Sub-Saharan Africa"/>
    <n v="0"/>
    <n v="99"/>
    <n v="0.99"/>
    <n v="82475"/>
    <n v="0"/>
  </r>
  <r>
    <x v="39"/>
    <x v="5"/>
    <s v="SYC"/>
    <s v="Sub-Saharan Africa"/>
    <n v="0"/>
    <n v="99"/>
    <n v="0.99"/>
    <n v="82858"/>
    <n v="0"/>
  </r>
  <r>
    <x v="39"/>
    <x v="6"/>
    <s v="SYC"/>
    <s v="Sub-Saharan Africa"/>
    <n v="10"/>
    <n v="99"/>
    <n v="0.99"/>
    <n v="84600"/>
    <n v="11.82033096926714"/>
  </r>
  <r>
    <x v="39"/>
    <x v="7"/>
    <s v="SYC"/>
    <s v="Sub-Saharan Africa"/>
    <n v="1"/>
    <n v="99"/>
    <n v="0.99"/>
    <n v="85033"/>
    <n v="1.1760140180870955"/>
  </r>
  <r>
    <x v="39"/>
    <x v="8"/>
    <s v="SYC"/>
    <s v="Sub-Saharan Africa"/>
    <n v="0"/>
    <n v="99"/>
    <n v="0.99"/>
    <n v="86956"/>
    <n v="0"/>
  </r>
  <r>
    <x v="39"/>
    <x v="9"/>
    <s v="SYC"/>
    <s v="Sub-Saharan Africa"/>
    <n v="0"/>
    <n v="97"/>
    <n v="0.97"/>
    <n v="87298"/>
    <n v="0"/>
  </r>
  <r>
    <x v="39"/>
    <x v="10"/>
    <s v="SYC"/>
    <s v="Sub-Saharan Africa"/>
    <n v="0"/>
    <n v="99"/>
    <n v="0.99"/>
    <n v="89770"/>
    <n v="0"/>
  </r>
  <r>
    <x v="39"/>
    <x v="11"/>
    <s v="SYC"/>
    <s v="Sub-Saharan Africa"/>
    <n v="0"/>
    <n v="99"/>
    <n v="0.99"/>
    <n v="87441"/>
    <n v="0"/>
  </r>
  <r>
    <x v="39"/>
    <x v="12"/>
    <s v="SYC"/>
    <s v="Sub-Saharan Africa"/>
    <n v="0"/>
    <n v="98"/>
    <n v="0.98"/>
    <n v="88303"/>
    <n v="0"/>
  </r>
  <r>
    <x v="39"/>
    <x v="13"/>
    <s v="SYC"/>
    <s v="Sub-Saharan Africa"/>
    <n v="0"/>
    <n v="97"/>
    <n v="0.97"/>
    <n v="89949"/>
    <n v="0"/>
  </r>
  <r>
    <x v="39"/>
    <x v="14"/>
    <s v="SYC"/>
    <s v="Sub-Saharan Africa"/>
    <n v="0"/>
    <n v="99"/>
    <n v="0.99"/>
    <n v="91359"/>
    <n v="0"/>
  </r>
  <r>
    <x v="39"/>
    <x v="15"/>
    <s v="SYC"/>
    <s v="Sub-Saharan Africa"/>
    <n v="0"/>
    <n v="98"/>
    <n v="0.98"/>
    <n v="93419"/>
    <n v="0"/>
  </r>
  <r>
    <x v="39"/>
    <x v="16"/>
    <s v="SYC"/>
    <s v="Sub-Saharan Africa"/>
    <n v="0"/>
    <n v="97"/>
    <n v="0.97"/>
    <n v="94677"/>
    <n v="0"/>
  </r>
  <r>
    <x v="39"/>
    <x v="17"/>
    <s v="SYC"/>
    <s v="Sub-Saharan Africa"/>
    <n v="0"/>
    <n v="99"/>
    <n v="0.99"/>
    <n v="95843"/>
    <n v="0"/>
  </r>
  <r>
    <x v="39"/>
    <x v="18"/>
    <s v="SYC"/>
    <s v="Sub-Saharan Africa"/>
    <m/>
    <n v="96"/>
    <n v="0.96"/>
    <n v="96762"/>
    <m/>
  </r>
  <r>
    <x v="39"/>
    <x v="19"/>
    <s v="SYC"/>
    <s v="Sub-Saharan Africa"/>
    <n v="0"/>
    <n v="99"/>
    <n v="0.99"/>
    <n v="97625"/>
    <n v="0"/>
  </r>
  <r>
    <x v="39"/>
    <x v="20"/>
    <s v="SYC"/>
    <s v="Sub-Saharan Africa"/>
    <n v="27"/>
    <n v="97"/>
    <n v="0.97"/>
    <n v="98462"/>
    <n v="27.421746460563465"/>
  </r>
  <r>
    <x v="39"/>
    <x v="21"/>
    <s v="SYC"/>
    <s v="Sub-Saharan Africa"/>
    <n v="0"/>
    <n v="94"/>
    <n v="0.94"/>
    <n v="99258"/>
    <n v="0"/>
  </r>
  <r>
    <x v="39"/>
    <x v="22"/>
    <s v="SYC"/>
    <s v="Sub-Saharan Africa"/>
    <n v="0"/>
    <n v="98"/>
    <n v="0.98"/>
    <n v="119878"/>
    <n v="0"/>
  </r>
  <r>
    <x v="39"/>
    <x v="23"/>
    <s v="SYC"/>
    <s v="Sub-Saharan Africa"/>
    <n v="0"/>
    <n v="93"/>
    <n v="0.93"/>
    <n v="119773"/>
    <n v="0"/>
  </r>
  <r>
    <x v="39"/>
    <x v="24"/>
    <s v="SYC"/>
    <s v="Sub-Saharan Africa"/>
    <n v="2"/>
    <n v="97"/>
    <n v="0.97"/>
    <n v="121354"/>
    <n v="1.648070932972955"/>
  </r>
  <r>
    <x v="40"/>
    <x v="0"/>
    <s v="TCD"/>
    <s v="Sub-Saharan Africa"/>
    <n v="3546"/>
    <n v="28.000000000000004"/>
    <n v="0.28000000000000003"/>
    <n v="8512093"/>
    <n v="41.658379437348721"/>
  </r>
  <r>
    <x v="40"/>
    <x v="1"/>
    <s v="TCD"/>
    <s v="Sub-Saharan Africa"/>
    <n v="24908"/>
    <n v="26"/>
    <n v="0.26"/>
    <n v="8804124"/>
    <n v="282.91287128622901"/>
  </r>
  <r>
    <x v="40"/>
    <x v="2"/>
    <s v="TCD"/>
    <s v="Sub-Saharan Africa"/>
    <n v="7277"/>
    <n v="25"/>
    <n v="0.25"/>
    <n v="9116192"/>
    <n v="79.824997104053978"/>
  </r>
  <r>
    <x v="40"/>
    <x v="3"/>
    <s v="TCD"/>
    <s v="Sub-Saharan Africa"/>
    <n v="15801"/>
    <n v="23"/>
    <n v="0.23"/>
    <n v="9487833"/>
    <n v="166.53960920264933"/>
  </r>
  <r>
    <x v="40"/>
    <x v="4"/>
    <s v="TCD"/>
    <s v="Sub-Saharan Africa"/>
    <n v="10324"/>
    <n v="16"/>
    <n v="0.16"/>
    <n v="9920036"/>
    <n v="104.07220296377957"/>
  </r>
  <r>
    <x v="40"/>
    <x v="5"/>
    <s v="TCD"/>
    <s v="Sub-Saharan Africa"/>
    <n v="2"/>
    <n v="27"/>
    <n v="0.27"/>
    <n v="10328092"/>
    <n v="1.9364660965452283E-2"/>
  </r>
  <r>
    <x v="40"/>
    <x v="6"/>
    <s v="TCD"/>
    <s v="Sub-Saharan Africa"/>
    <n v="1594"/>
    <n v="39"/>
    <n v="0.39"/>
    <n v="10706424"/>
    <n v="14.888257741333614"/>
  </r>
  <r>
    <x v="40"/>
    <x v="7"/>
    <s v="TCD"/>
    <s v="Sub-Saharan Africa"/>
    <n v="441"/>
    <n v="31"/>
    <n v="0.31"/>
    <n v="11081660"/>
    <n v="3.979548190433563"/>
  </r>
  <r>
    <x v="40"/>
    <x v="8"/>
    <s v="TCD"/>
    <s v="Sub-Saharan Africa"/>
    <n v="63"/>
    <n v="27"/>
    <n v="0.27"/>
    <n v="11476296"/>
    <n v="0.54895760792506576"/>
  </r>
  <r>
    <x v="40"/>
    <x v="9"/>
    <s v="TCD"/>
    <s v="Sub-Saharan Africa"/>
    <n v="165"/>
    <n v="36"/>
    <n v="0.36"/>
    <n v="11893754"/>
    <n v="1.3872827704356421"/>
  </r>
  <r>
    <x v="40"/>
    <x v="10"/>
    <s v="TCD"/>
    <s v="Sub-Saharan Africa"/>
    <n v="194"/>
    <n v="46"/>
    <n v="0.46"/>
    <n v="12312575"/>
    <n v="1.5756249200512482"/>
  </r>
  <r>
    <x v="40"/>
    <x v="11"/>
    <s v="TCD"/>
    <s v="Sub-Saharan Africa"/>
    <n v="8650"/>
    <n v="54"/>
    <n v="0.54"/>
    <n v="12754997"/>
    <n v="67.816558482922417"/>
  </r>
  <r>
    <x v="40"/>
    <x v="12"/>
    <s v="TCD"/>
    <s v="Sub-Saharan Africa"/>
    <n v="120"/>
    <n v="63"/>
    <n v="0.63"/>
    <n v="13210998"/>
    <n v="0.9083341016325942"/>
  </r>
  <r>
    <x v="40"/>
    <x v="13"/>
    <s v="TCD"/>
    <s v="Sub-Saharan Africa"/>
    <n v="226"/>
    <n v="56.999999999999993"/>
    <n v="0.56999999999999995"/>
    <n v="13691079"/>
    <n v="1.6507099257845199"/>
  </r>
  <r>
    <x v="40"/>
    <x v="14"/>
    <s v="TCD"/>
    <s v="Sub-Saharan Africa"/>
    <n v="1275"/>
    <n v="45"/>
    <n v="0.45"/>
    <n v="14188678"/>
    <n v="8.9860380227107832"/>
  </r>
  <r>
    <x v="40"/>
    <x v="15"/>
    <s v="TCD"/>
    <s v="Sub-Saharan Africa"/>
    <n v="418"/>
    <n v="46"/>
    <n v="0.46"/>
    <n v="14647621"/>
    <n v="2.8537057314631502"/>
  </r>
  <r>
    <x v="40"/>
    <x v="16"/>
    <s v="TCD"/>
    <s v="Sub-Saharan Africa"/>
    <n v="118"/>
    <n v="37"/>
    <n v="0.37"/>
    <n v="15114655"/>
    <n v="0.78069926174299042"/>
  </r>
  <r>
    <x v="40"/>
    <x v="17"/>
    <s v="TCD"/>
    <s v="Sub-Saharan Africa"/>
    <n v="9"/>
    <n v="37"/>
    <n v="0.37"/>
    <n v="15622759"/>
    <n v="5.7608262407427523E-2"/>
  </r>
  <r>
    <x v="40"/>
    <x v="18"/>
    <s v="TCD"/>
    <s v="Sub-Saharan Africa"/>
    <n v="1457"/>
    <n v="41"/>
    <n v="0.41"/>
    <n v="16156531"/>
    <n v="9.0180249708306821"/>
  </r>
  <r>
    <x v="40"/>
    <x v="19"/>
    <s v="TCD"/>
    <s v="Sub-Saharan Africa"/>
    <n v="1882"/>
    <n v="40"/>
    <n v="0.4"/>
    <n v="16685223"/>
    <n v="11.279441695205392"/>
  </r>
  <r>
    <x v="40"/>
    <x v="20"/>
    <s v="TCD"/>
    <s v="Sub-Saharan Africa"/>
    <n v="2170"/>
    <n v="45"/>
    <n v="0.45"/>
    <n v="17224679"/>
    <n v="12.59820284604433"/>
  </r>
  <r>
    <x v="40"/>
    <x v="21"/>
    <s v="TCD"/>
    <s v="Sub-Saharan Africa"/>
    <n v="2577"/>
    <n v="53"/>
    <n v="0.53"/>
    <n v="17828273"/>
    <n v="14.454568874954965"/>
  </r>
  <r>
    <x v="40"/>
    <x v="22"/>
    <s v="TCD"/>
    <s v="Sub-Saharan Africa"/>
    <n v="2158"/>
    <n v="54"/>
    <n v="0.54"/>
    <n v="18455316"/>
    <n v="11.693107828660317"/>
  </r>
  <r>
    <x v="40"/>
    <x v="23"/>
    <s v="TCD"/>
    <s v="Sub-Saharan Africa"/>
    <n v="11862"/>
    <n v="63"/>
    <n v="0.63"/>
    <n v="19319064"/>
    <n v="61.400490210084719"/>
  </r>
  <r>
    <x v="40"/>
    <x v="24"/>
    <s v="TCD"/>
    <s v="Sub-Saharan Africa"/>
    <n v="6978"/>
    <n v="66"/>
    <n v="0.66"/>
    <n v="20299123"/>
    <n v="34.375869341744469"/>
  </r>
  <r>
    <x v="41"/>
    <x v="0"/>
    <s v="TGO"/>
    <s v="Sub-Saharan Africa"/>
    <n v="3578"/>
    <n v="57.999999999999993"/>
    <n v="0.57999999999999996"/>
    <n v="5140037"/>
    <n v="69.61039385514151"/>
  </r>
  <r>
    <x v="41"/>
    <x v="1"/>
    <s v="TGO"/>
    <s v="Sub-Saharan Africa"/>
    <n v="1833"/>
    <n v="40"/>
    <n v="0.4"/>
    <n v="5277382"/>
    <n v="34.733130934997696"/>
  </r>
  <r>
    <x v="41"/>
    <x v="2"/>
    <s v="TGO"/>
    <s v="Sub-Saharan Africa"/>
    <n v="363"/>
    <n v="48"/>
    <n v="0.48"/>
    <n v="5413274"/>
    <n v="6.7057385234887423"/>
  </r>
  <r>
    <x v="41"/>
    <x v="3"/>
    <s v="TGO"/>
    <s v="Sub-Saharan Africa"/>
    <n v="295"/>
    <n v="68"/>
    <n v="0.68"/>
    <n v="5552167"/>
    <n v="5.3132407580679759"/>
  </r>
  <r>
    <x v="41"/>
    <x v="4"/>
    <s v="TGO"/>
    <s v="Sub-Saharan Africa"/>
    <n v="61"/>
    <n v="70"/>
    <n v="0.7"/>
    <n v="5696508"/>
    <n v="1.0708314637669252"/>
  </r>
  <r>
    <x v="41"/>
    <x v="5"/>
    <s v="TGO"/>
    <s v="Sub-Saharan Africa"/>
    <n v="38"/>
    <n v="70"/>
    <n v="0.7"/>
    <n v="5844631"/>
    <n v="0.65016936056356678"/>
  </r>
  <r>
    <x v="41"/>
    <x v="6"/>
    <s v="TGO"/>
    <s v="Sub-Saharan Africa"/>
    <n v="26"/>
    <n v="78"/>
    <n v="0.78"/>
    <n v="6010668"/>
    <n v="0.43256423412505896"/>
  </r>
  <r>
    <x v="41"/>
    <x v="7"/>
    <s v="TGO"/>
    <s v="Sub-Saharan Africa"/>
    <n v="8"/>
    <n v="71"/>
    <n v="0.71"/>
    <n v="6188344"/>
    <n v="0.12927529562028225"/>
  </r>
  <r>
    <x v="41"/>
    <x v="8"/>
    <s v="TGO"/>
    <s v="Sub-Saharan Africa"/>
    <n v="187"/>
    <n v="63"/>
    <n v="0.63"/>
    <n v="6368812"/>
    <n v="2.9361833886759414"/>
  </r>
  <r>
    <x v="41"/>
    <x v="9"/>
    <s v="TGO"/>
    <s v="Sub-Saharan Africa"/>
    <n v="425"/>
    <n v="66"/>
    <n v="0.66"/>
    <n v="6551865"/>
    <n v="6.4867026411563735"/>
  </r>
  <r>
    <x v="41"/>
    <x v="10"/>
    <s v="TGO"/>
    <s v="Sub-Saharan Africa"/>
    <n v="120"/>
    <n v="68"/>
    <n v="0.68"/>
    <n v="6732590"/>
    <n v="1.7823749849612109"/>
  </r>
  <r>
    <x v="41"/>
    <x v="11"/>
    <s v="TGO"/>
    <s v="Sub-Saharan Africa"/>
    <n v="187"/>
    <n v="72"/>
    <n v="0.72"/>
    <n v="6916474"/>
    <n v="2.7036897702499858"/>
  </r>
  <r>
    <x v="41"/>
    <x v="12"/>
    <s v="TGO"/>
    <s v="Sub-Saharan Africa"/>
    <n v="238"/>
    <n v="72"/>
    <n v="0.72"/>
    <n v="7100736"/>
    <n v="3.3517652254639518"/>
  </r>
  <r>
    <x v="41"/>
    <x v="13"/>
    <s v="TGO"/>
    <s v="Sub-Saharan Africa"/>
    <n v="564"/>
    <n v="72"/>
    <n v="0.72"/>
    <n v="7285442"/>
    <n v="7.7414657888979148"/>
  </r>
  <r>
    <x v="41"/>
    <x v="14"/>
    <s v="TGO"/>
    <s v="Sub-Saharan Africa"/>
    <n v="577"/>
    <n v="77"/>
    <n v="0.77"/>
    <n v="7472450"/>
    <n v="7.7216977028953027"/>
  </r>
  <r>
    <x v="41"/>
    <x v="15"/>
    <s v="TGO"/>
    <s v="Sub-Saharan Africa"/>
    <n v="20"/>
    <n v="75"/>
    <n v="0.75"/>
    <n v="7663195"/>
    <n v="0.26098774727773472"/>
  </r>
  <r>
    <x v="41"/>
    <x v="16"/>
    <s v="TGO"/>
    <s v="Sub-Saharan Africa"/>
    <n v="15"/>
    <n v="73"/>
    <n v="0.73"/>
    <n v="7858289"/>
    <n v="0.19088124654107275"/>
  </r>
  <r>
    <x v="41"/>
    <x v="17"/>
    <s v="TGO"/>
    <s v="Sub-Saharan Africa"/>
    <n v="46"/>
    <n v="78"/>
    <n v="0.78"/>
    <n v="8057140"/>
    <n v="0.57092218827027952"/>
  </r>
  <r>
    <x v="41"/>
    <x v="18"/>
    <s v="TGO"/>
    <s v="Sub-Saharan Africa"/>
    <n v="38"/>
    <n v="73"/>
    <n v="0.73"/>
    <n v="8258778"/>
    <n v="0.4601164966536212"/>
  </r>
  <r>
    <x v="41"/>
    <x v="19"/>
    <s v="TGO"/>
    <s v="Sub-Saharan Africa"/>
    <n v="69"/>
    <n v="78"/>
    <n v="0.78"/>
    <n v="8463068"/>
    <n v="0.81530716756618282"/>
  </r>
  <r>
    <x v="41"/>
    <x v="20"/>
    <s v="TGO"/>
    <s v="Sub-Saharan Africa"/>
    <n v="91"/>
    <n v="75"/>
    <n v="0.75"/>
    <n v="8669720"/>
    <n v="1.0496302072039236"/>
  </r>
  <r>
    <x v="41"/>
    <x v="21"/>
    <s v="TGO"/>
    <s v="Sub-Saharan Africa"/>
    <n v="82"/>
    <n v="77"/>
    <n v="0.77"/>
    <n v="8878379"/>
    <n v="0.92359202057042167"/>
  </r>
  <r>
    <x v="41"/>
    <x v="22"/>
    <s v="TGO"/>
    <s v="Sub-Saharan Africa"/>
    <n v="722"/>
    <n v="79"/>
    <n v="0.79"/>
    <n v="9089738"/>
    <n v="7.9430232202512325"/>
  </r>
  <r>
    <x v="41"/>
    <x v="23"/>
    <s v="TGO"/>
    <s v="Sub-Saharan Africa"/>
    <n v="686"/>
    <n v="81"/>
    <n v="0.81"/>
    <n v="9304337"/>
    <n v="7.3729057750165321"/>
  </r>
  <r>
    <x v="41"/>
    <x v="24"/>
    <s v="TGO"/>
    <s v="Sub-Saharan Africa"/>
    <n v="353"/>
    <n v="81"/>
    <n v="0.81"/>
    <n v="9515236"/>
    <n v="3.7098396718694104"/>
  </r>
  <r>
    <x v="42"/>
    <x v="0"/>
    <s v="TZA"/>
    <s v="Sub-Saharan Africa"/>
    <n v="14649"/>
    <n v="78"/>
    <n v="0.78"/>
    <n v="34260139"/>
    <n v="42.758145260297979"/>
  </r>
  <r>
    <x v="42"/>
    <x v="1"/>
    <s v="TZA"/>
    <s v="Sub-Saharan Africa"/>
    <n v="11847"/>
    <n v="86"/>
    <n v="0.86"/>
    <n v="35198299"/>
    <n v="33.657876478633241"/>
  </r>
  <r>
    <x v="42"/>
    <x v="2"/>
    <s v="TZA"/>
    <s v="Sub-Saharan Africa"/>
    <n v="5131"/>
    <n v="89"/>
    <n v="0.89"/>
    <n v="36121304"/>
    <n v="14.204913532468263"/>
  </r>
  <r>
    <x v="42"/>
    <x v="3"/>
    <s v="TZA"/>
    <s v="Sub-Saharan Africa"/>
    <n v="1673"/>
    <n v="97"/>
    <n v="0.97"/>
    <n v="37089555"/>
    <n v="4.5107038895451836"/>
  </r>
  <r>
    <x v="42"/>
    <x v="4"/>
    <s v="TZA"/>
    <s v="Sub-Saharan Africa"/>
    <n v="1419"/>
    <n v="94"/>
    <n v="0.94"/>
    <n v="38109668"/>
    <n v="3.7234646074586637"/>
  </r>
  <r>
    <x v="42"/>
    <x v="5"/>
    <s v="TZA"/>
    <s v="Sub-Saharan Africa"/>
    <n v="23"/>
    <n v="91"/>
    <n v="0.91"/>
    <n v="39182076"/>
    <n v="5.8700309804922031E-2"/>
  </r>
  <r>
    <x v="42"/>
    <x v="6"/>
    <s v="TZA"/>
    <s v="Sub-Saharan Africa"/>
    <n v="2362"/>
    <n v="93"/>
    <n v="0.93"/>
    <n v="40294902"/>
    <n v="5.8617837065343901"/>
  </r>
  <r>
    <x v="42"/>
    <x v="7"/>
    <s v="TZA"/>
    <s v="Sub-Saharan Africa"/>
    <n v="7726"/>
    <n v="90"/>
    <n v="0.9"/>
    <n v="41435512"/>
    <n v="18.645841760082511"/>
  </r>
  <r>
    <x v="42"/>
    <x v="8"/>
    <s v="TZA"/>
    <s v="Sub-Saharan Africa"/>
    <n v="3413"/>
    <n v="88"/>
    <n v="0.88"/>
    <n v="42570728"/>
    <n v="8.0172460287735738"/>
  </r>
  <r>
    <x v="42"/>
    <x v="9"/>
    <s v="TZA"/>
    <s v="Sub-Saharan Africa"/>
    <n v="1574"/>
    <n v="91"/>
    <n v="0.91"/>
    <n v="43633982"/>
    <n v="3.6072802156814383"/>
  </r>
  <r>
    <x v="42"/>
    <x v="10"/>
    <s v="TZA"/>
    <s v="Sub-Saharan Africa"/>
    <n v="167"/>
    <n v="92"/>
    <n v="0.92"/>
    <n v="44758488"/>
    <n v="0.37311358685753637"/>
  </r>
  <r>
    <x v="42"/>
    <x v="11"/>
    <s v="TZA"/>
    <s v="Sub-Saharan Africa"/>
    <n v="1622"/>
    <n v="93"/>
    <n v="0.93"/>
    <n v="46029367"/>
    <n v="3.5238372928309007"/>
  </r>
  <r>
    <x v="42"/>
    <x v="12"/>
    <s v="TZA"/>
    <s v="Sub-Saharan Africa"/>
    <n v="1668"/>
    <n v="97"/>
    <n v="0.97"/>
    <n v="47374260"/>
    <n v="3.5208993238100184"/>
  </r>
  <r>
    <x v="42"/>
    <x v="13"/>
    <s v="TZA"/>
    <s v="Sub-Saharan Africa"/>
    <n v="185"/>
    <n v="99"/>
    <n v="0.99"/>
    <n v="48824128"/>
    <n v="0.37891101711022879"/>
  </r>
  <r>
    <x v="42"/>
    <x v="14"/>
    <s v="TZA"/>
    <s v="Sub-Saharan Africa"/>
    <n v="88"/>
    <n v="97"/>
    <n v="0.97"/>
    <n v="50351512"/>
    <n v="0.17477131570547474"/>
  </r>
  <r>
    <x v="42"/>
    <x v="15"/>
    <s v="TZA"/>
    <s v="Sub-Saharan Africa"/>
    <n v="30"/>
    <n v="95"/>
    <n v="0.95"/>
    <n v="52020962"/>
    <n v="5.7669060406841381E-2"/>
  </r>
  <r>
    <x v="42"/>
    <x v="16"/>
    <s v="TZA"/>
    <s v="Sub-Saharan Africa"/>
    <n v="33"/>
    <n v="83"/>
    <n v="0.83"/>
    <n v="53824013"/>
    <n v="6.1310924549605773E-2"/>
  </r>
  <r>
    <x v="42"/>
    <x v="17"/>
    <s v="TZA"/>
    <s v="Sub-Saharan Africa"/>
    <n v="852"/>
    <n v="90"/>
    <n v="0.9"/>
    <n v="55652890"/>
    <n v="1.5309178013936025"/>
  </r>
  <r>
    <x v="42"/>
    <x v="18"/>
    <s v="TZA"/>
    <s v="Sub-Saharan Africa"/>
    <n v="74"/>
    <n v="88"/>
    <n v="0.88"/>
    <n v="57437145"/>
    <n v="0.12883648725924662"/>
  </r>
  <r>
    <x v="42"/>
    <x v="19"/>
    <s v="TZA"/>
    <s v="Sub-Saharan Africa"/>
    <n v="120"/>
    <n v="89"/>
    <n v="0.89"/>
    <n v="59174891"/>
    <n v="0.20278871320607925"/>
  </r>
  <r>
    <x v="42"/>
    <x v="20"/>
    <s v="TZA"/>
    <s v="Sub-Saharan Africa"/>
    <n v="127"/>
    <n v="87"/>
    <n v="0.87"/>
    <n v="60972798"/>
    <n v="0.20828960481688899"/>
  </r>
  <r>
    <x v="42"/>
    <x v="21"/>
    <s v="TZA"/>
    <s v="Sub-Saharan Africa"/>
    <n v="0"/>
    <n v="80"/>
    <n v="0.8"/>
    <n v="62830412"/>
    <n v="0"/>
  </r>
  <r>
    <x v="42"/>
    <x v="22"/>
    <s v="TZA"/>
    <s v="Sub-Saharan Africa"/>
    <n v="612"/>
    <n v="84"/>
    <n v="0.84"/>
    <n v="64711821"/>
    <n v="0.94573138345156438"/>
  </r>
  <r>
    <x v="42"/>
    <x v="23"/>
    <s v="TZA"/>
    <s v="Sub-Saharan Africa"/>
    <n v="2887"/>
    <n v="84"/>
    <n v="0.84"/>
    <n v="66617606"/>
    <n v="4.333689205223016"/>
  </r>
  <r>
    <x v="42"/>
    <x v="24"/>
    <s v="TZA"/>
    <s v="Sub-Saharan Africa"/>
    <n v="992"/>
    <n v="84"/>
    <n v="0.84"/>
    <n v="68560157"/>
    <n v="1.4469045046089961"/>
  </r>
  <r>
    <x v="43"/>
    <x v="0"/>
    <s v="UGA"/>
    <s v="Sub-Saharan Africa"/>
    <n v="42554"/>
    <n v="56.999999999999993"/>
    <n v="0.56999999999999995"/>
    <n v="24000150"/>
    <n v="177.30722516317607"/>
  </r>
  <r>
    <x v="43"/>
    <x v="1"/>
    <s v="UGA"/>
    <s v="Sub-Saharan Africa"/>
    <n v="48543"/>
    <n v="59"/>
    <n v="0.59"/>
    <n v="24745676"/>
    <n v="196.16760520100564"/>
  </r>
  <r>
    <x v="43"/>
    <x v="2"/>
    <s v="UGA"/>
    <s v="Sub-Saharan Africa"/>
    <n v="49871"/>
    <n v="62"/>
    <n v="0.62"/>
    <n v="25532870"/>
    <n v="195.32077670861128"/>
  </r>
  <r>
    <x v="43"/>
    <x v="3"/>
    <s v="UGA"/>
    <s v="Sub-Saharan Africa"/>
    <n v="29429"/>
    <n v="64"/>
    <n v="0.64"/>
    <n v="26352124"/>
    <n v="111.67600759619982"/>
  </r>
  <r>
    <x v="43"/>
    <x v="4"/>
    <s v="UGA"/>
    <s v="Sub-Saharan Africa"/>
    <n v="141"/>
    <n v="66"/>
    <n v="0.66"/>
    <n v="27154515"/>
    <n v="0.51925066604945802"/>
  </r>
  <r>
    <x v="43"/>
    <x v="5"/>
    <s v="UGA"/>
    <s v="Sub-Saharan Africa"/>
    <n v="22"/>
    <n v="68"/>
    <n v="0.68"/>
    <n v="27963289"/>
    <n v="7.8674579374407638E-2"/>
  </r>
  <r>
    <x v="43"/>
    <x v="6"/>
    <s v="UGA"/>
    <s v="Sub-Saharan Africa"/>
    <n v="5736"/>
    <n v="75"/>
    <n v="0.75"/>
    <n v="28794003"/>
    <n v="19.920814761323737"/>
  </r>
  <r>
    <x v="43"/>
    <x v="7"/>
    <s v="UGA"/>
    <s v="Sub-Saharan Africa"/>
    <n v="3776"/>
    <n v="75"/>
    <n v="0.75"/>
    <n v="29653430"/>
    <n v="12.733771438919543"/>
  </r>
  <r>
    <x v="43"/>
    <x v="8"/>
    <s v="UGA"/>
    <s v="Sub-Saharan Africa"/>
    <n v="1319"/>
    <n v="70"/>
    <n v="0.7"/>
    <n v="30539553"/>
    <n v="4.3189892137583019"/>
  </r>
  <r>
    <x v="43"/>
    <x v="9"/>
    <s v="UGA"/>
    <s v="Sub-Saharan Africa"/>
    <n v="1601"/>
    <n v="77"/>
    <n v="0.77"/>
    <n v="31451151"/>
    <n v="5.0904337332519241"/>
  </r>
  <r>
    <x v="43"/>
    <x v="10"/>
    <s v="UGA"/>
    <s v="Sub-Saharan Africa"/>
    <n v="1313"/>
    <n v="73"/>
    <n v="0.73"/>
    <n v="32390802"/>
    <n v="4.0536199134556776"/>
  </r>
  <r>
    <x v="43"/>
    <x v="11"/>
    <s v="UGA"/>
    <s v="Sub-Saharan Africa"/>
    <n v="3312"/>
    <n v="75"/>
    <n v="0.75"/>
    <n v="33354543"/>
    <n v="9.9296818427402833"/>
  </r>
  <r>
    <x v="43"/>
    <x v="12"/>
    <s v="UGA"/>
    <s v="Sub-Saharan Africa"/>
    <n v="2027"/>
    <n v="80"/>
    <n v="0.8"/>
    <n v="34337438"/>
    <n v="5.9031777501862548"/>
  </r>
  <r>
    <x v="43"/>
    <x v="13"/>
    <s v="UGA"/>
    <s v="Sub-Saharan Africa"/>
    <n v="7878"/>
    <n v="83"/>
    <n v="0.83"/>
    <n v="35337042"/>
    <n v="22.29388639830125"/>
  </r>
  <r>
    <x v="43"/>
    <x v="14"/>
    <s v="UGA"/>
    <s v="Sub-Saharan Africa"/>
    <n v="314"/>
    <n v="85"/>
    <n v="0.85"/>
    <n v="36395539"/>
    <n v="0.86274309607009814"/>
  </r>
  <r>
    <x v="43"/>
    <x v="15"/>
    <s v="UGA"/>
    <s v="Sub-Saharan Africa"/>
    <n v="478"/>
    <n v="79"/>
    <n v="0.79"/>
    <n v="37531446"/>
    <n v="1.2735986777594446"/>
  </r>
  <r>
    <x v="43"/>
    <x v="16"/>
    <s v="UGA"/>
    <s v="Sub-Saharan Africa"/>
    <n v="139"/>
    <n v="79"/>
    <n v="0.79"/>
    <n v="38799152"/>
    <n v="0.35825525258902563"/>
  </r>
  <r>
    <x v="43"/>
    <x v="17"/>
    <s v="UGA"/>
    <s v="Sub-Saharan Africa"/>
    <n v="1021"/>
    <n v="83"/>
    <n v="0.83"/>
    <n v="40177388"/>
    <n v="2.5412304055206376"/>
  </r>
  <r>
    <x v="43"/>
    <x v="18"/>
    <s v="UGA"/>
    <s v="Sub-Saharan Africa"/>
    <n v="2627"/>
    <n v="86"/>
    <n v="0.86"/>
    <n v="41565831"/>
    <n v="6.3200949837860811"/>
  </r>
  <r>
    <x v="43"/>
    <x v="19"/>
    <s v="UGA"/>
    <s v="Sub-Saharan Africa"/>
    <n v="920"/>
    <n v="87"/>
    <n v="0.87"/>
    <n v="42999637"/>
    <n v="2.139552945528354"/>
  </r>
  <r>
    <x v="43"/>
    <x v="20"/>
    <s v="UGA"/>
    <s v="Sub-Saharan Africa"/>
    <n v="314"/>
    <n v="89"/>
    <n v="0.89"/>
    <n v="44457152"/>
    <n v="0.70629805526004008"/>
  </r>
  <r>
    <x v="43"/>
    <x v="21"/>
    <s v="UGA"/>
    <s v="Sub-Saharan Africa"/>
    <n v="606"/>
    <n v="90"/>
    <n v="0.9"/>
    <n v="45910930"/>
    <n v="1.3199471237023515"/>
  </r>
  <r>
    <x v="43"/>
    <x v="22"/>
    <s v="UGA"/>
    <s v="Sub-Saharan Africa"/>
    <n v="52"/>
    <n v="90"/>
    <n v="0.9"/>
    <n v="47312719"/>
    <n v="0.10990702098520273"/>
  </r>
  <r>
    <x v="43"/>
    <x v="23"/>
    <s v="UGA"/>
    <s v="Sub-Saharan Africa"/>
    <n v="399"/>
    <n v="90"/>
    <n v="0.9"/>
    <n v="48656601"/>
    <n v="0.82003262003443267"/>
  </r>
  <r>
    <x v="43"/>
    <x v="24"/>
    <s v="UGA"/>
    <s v="Sub-Saharan Africa"/>
    <n v="2180"/>
    <n v="90"/>
    <n v="0.9"/>
    <n v="50015092"/>
    <n v="4.3586843747083384"/>
  </r>
  <r>
    <x v="44"/>
    <x v="0"/>
    <s v="ZAF"/>
    <s v="Sub-Saharan Africa"/>
    <n v="1459"/>
    <n v="72"/>
    <n v="0.72"/>
    <n v="47159719"/>
    <n v="3.0937419283605148"/>
  </r>
  <r>
    <x v="44"/>
    <x v="1"/>
    <s v="ZAF"/>
    <s v="Sub-Saharan Africa"/>
    <n v="1166"/>
    <n v="69"/>
    <n v="0.69"/>
    <n v="47566800"/>
    <n v="2.4512895548996356"/>
  </r>
  <r>
    <x v="44"/>
    <x v="2"/>
    <s v="ZAF"/>
    <s v="Sub-Saharan Africa"/>
    <n v="1043"/>
    <n v="65"/>
    <n v="0.65"/>
    <n v="48019415"/>
    <n v="2.172038122496911"/>
  </r>
  <r>
    <x v="44"/>
    <x v="3"/>
    <s v="ZAF"/>
    <s v="Sub-Saharan Africa"/>
    <n v="244"/>
    <n v="62"/>
    <n v="0.62"/>
    <n v="48500348"/>
    <n v="0.50308917371067108"/>
  </r>
  <r>
    <x v="44"/>
    <x v="4"/>
    <s v="ZAF"/>
    <s v="Sub-Saharan Africa"/>
    <n v="830"/>
    <n v="63"/>
    <n v="0.63"/>
    <n v="48991421"/>
    <n v="1.6941741698000552"/>
  </r>
  <r>
    <x v="44"/>
    <x v="5"/>
    <s v="ZAF"/>
    <s v="Sub-Saharan Africa"/>
    <n v="615"/>
    <n v="64"/>
    <n v="0.64"/>
    <n v="49490033"/>
    <n v="1.2426744593199199"/>
  </r>
  <r>
    <x v="44"/>
    <x v="6"/>
    <s v="ZAF"/>
    <s v="Sub-Saharan Africa"/>
    <n v="81"/>
    <n v="69"/>
    <n v="0.69"/>
    <n v="49998277"/>
    <n v="0.16200558271238027"/>
  </r>
  <r>
    <x v="44"/>
    <x v="7"/>
    <s v="ZAF"/>
    <s v="Sub-Saharan Africa"/>
    <n v="31"/>
    <n v="68"/>
    <n v="0.68"/>
    <n v="50528584"/>
    <n v="6.1351412499507207E-2"/>
  </r>
  <r>
    <x v="44"/>
    <x v="8"/>
    <s v="ZAF"/>
    <s v="Sub-Saharan Africa"/>
    <n v="39"/>
    <n v="73"/>
    <n v="0.73"/>
    <n v="51114599"/>
    <n v="7.6299141073179505E-2"/>
  </r>
  <r>
    <x v="44"/>
    <x v="9"/>
    <s v="ZAF"/>
    <s v="Sub-Saharan Africa"/>
    <n v="5857"/>
    <n v="77"/>
    <n v="0.77"/>
    <n v="51728516"/>
    <n v="11.322574960395151"/>
  </r>
  <r>
    <x v="44"/>
    <x v="10"/>
    <s v="ZAF"/>
    <s v="Sub-Saharan Africa"/>
    <n v="12499"/>
    <n v="72"/>
    <n v="0.72"/>
    <n v="52344051"/>
    <n v="23.878549254814075"/>
  </r>
  <r>
    <x v="44"/>
    <x v="11"/>
    <s v="ZAF"/>
    <s v="Sub-Saharan Africa"/>
    <n v="92"/>
    <n v="77"/>
    <n v="0.77"/>
    <n v="52995205"/>
    <n v="0.17360061160250254"/>
  </r>
  <r>
    <x v="44"/>
    <x v="12"/>
    <s v="ZAF"/>
    <s v="Sub-Saharan Africa"/>
    <n v="32"/>
    <n v="79"/>
    <n v="0.79"/>
    <n v="53782567"/>
    <n v="5.9498833516072221E-2"/>
  </r>
  <r>
    <x v="44"/>
    <x v="13"/>
    <s v="ZAF"/>
    <s v="Sub-Saharan Africa"/>
    <n v="25"/>
    <n v="78"/>
    <n v="0.78"/>
    <n v="54678791"/>
    <n v="4.5721566886875759E-2"/>
  </r>
  <r>
    <x v="44"/>
    <x v="14"/>
    <s v="ZAF"/>
    <s v="Sub-Saharan Africa"/>
    <n v="66"/>
    <n v="84"/>
    <n v="0.84"/>
    <n v="55594838"/>
    <n v="0.11871605777500423"/>
  </r>
  <r>
    <x v="44"/>
    <x v="15"/>
    <s v="ZAF"/>
    <s v="Sub-Saharan Africa"/>
    <n v="17"/>
    <n v="86"/>
    <n v="0.86"/>
    <n v="56723537"/>
    <n v="2.9969922362210945E-2"/>
  </r>
  <r>
    <x v="44"/>
    <x v="16"/>
    <s v="ZAF"/>
    <s v="Sub-Saharan Africa"/>
    <n v="18"/>
    <n v="84"/>
    <n v="0.84"/>
    <n v="57259551"/>
    <n v="3.1435803609427534E-2"/>
  </r>
  <r>
    <x v="44"/>
    <x v="17"/>
    <s v="ZAF"/>
    <s v="Sub-Saharan Africa"/>
    <n v="210"/>
    <n v="81"/>
    <n v="0.81"/>
    <n v="57635162"/>
    <n v="0.36436090871055415"/>
  </r>
  <r>
    <x v="44"/>
    <x v="18"/>
    <s v="ZAF"/>
    <s v="Sub-Saharan Africa"/>
    <n v="71"/>
    <n v="81"/>
    <n v="0.81"/>
    <n v="58613001"/>
    <n v="0.12113353486200101"/>
  </r>
  <r>
    <x v="44"/>
    <x v="19"/>
    <s v="ZAF"/>
    <s v="Sub-Saharan Africa"/>
    <n v="59"/>
    <n v="83"/>
    <n v="0.83"/>
    <n v="59587885"/>
    <n v="9.901341522693749E-2"/>
  </r>
  <r>
    <x v="44"/>
    <x v="20"/>
    <s v="ZAF"/>
    <s v="Sub-Saharan Africa"/>
    <n v="40"/>
    <n v="84"/>
    <n v="0.84"/>
    <n v="60562381"/>
    <n v="6.604760139797014E-2"/>
  </r>
  <r>
    <x v="44"/>
    <x v="21"/>
    <s v="ZAF"/>
    <s v="Sub-Saharan Africa"/>
    <n v="21"/>
    <n v="87"/>
    <n v="0.87"/>
    <n v="61502603"/>
    <n v="3.4144896273739823E-2"/>
  </r>
  <r>
    <x v="44"/>
    <x v="22"/>
    <s v="ZAF"/>
    <s v="Sub-Saharan Africa"/>
    <n v="400"/>
    <n v="86"/>
    <n v="0.86"/>
    <n v="62378410"/>
    <n v="0.64124750855303947"/>
  </r>
  <r>
    <x v="44"/>
    <x v="23"/>
    <s v="ZAF"/>
    <s v="Sub-Saharan Africa"/>
    <n v="1033"/>
    <n v="80"/>
    <n v="0.8"/>
    <n v="63212384"/>
    <n v="1.634173455631732"/>
  </r>
  <r>
    <x v="44"/>
    <x v="24"/>
    <s v="ZAF"/>
    <s v="Sub-Saharan Africa"/>
    <n v="931"/>
    <n v="76"/>
    <n v="0.76"/>
    <n v="64007187"/>
    <n v="1.4545241614820534"/>
  </r>
  <r>
    <x v="45"/>
    <x v="0"/>
    <s v="ZMB"/>
    <s v="Sub-Saharan Africa"/>
    <n v="30930"/>
    <n v="85"/>
    <n v="0.85"/>
    <n v="10017631"/>
    <n v="308.7556329435572"/>
  </r>
  <r>
    <x v="45"/>
    <x v="1"/>
    <s v="ZMB"/>
    <s v="Sub-Saharan Africa"/>
    <n v="16997"/>
    <n v="84"/>
    <n v="0.84"/>
    <n v="10325185"/>
    <n v="164.61690516925361"/>
  </r>
  <r>
    <x v="45"/>
    <x v="2"/>
    <s v="ZMB"/>
    <s v="Sub-Saharan Africa"/>
    <n v="25036"/>
    <n v="84"/>
    <n v="0.84"/>
    <n v="10647949"/>
    <n v="235.12509310478478"/>
  </r>
  <r>
    <x v="45"/>
    <x v="3"/>
    <s v="ZMB"/>
    <s v="Sub-Saharan Africa"/>
    <n v="881"/>
    <n v="84"/>
    <n v="0.84"/>
    <n v="10983595"/>
    <n v="8.021053216182862"/>
  </r>
  <r>
    <x v="45"/>
    <x v="4"/>
    <s v="ZMB"/>
    <s v="Sub-Saharan Africa"/>
    <n v="35"/>
    <n v="85"/>
    <n v="0.85"/>
    <n v="11338198"/>
    <n v="0.30869102832742912"/>
  </r>
  <r>
    <x v="45"/>
    <x v="5"/>
    <s v="ZMB"/>
    <s v="Sub-Saharan Africa"/>
    <n v="45"/>
    <n v="85"/>
    <n v="0.85"/>
    <n v="11718819"/>
    <n v="0.38399773902131262"/>
  </r>
  <r>
    <x v="45"/>
    <x v="6"/>
    <s v="ZMB"/>
    <s v="Sub-Saharan Africa"/>
    <n v="459"/>
    <n v="85"/>
    <n v="0.85"/>
    <n v="12129553"/>
    <n v="3.7841460439638626"/>
  </r>
  <r>
    <x v="45"/>
    <x v="7"/>
    <s v="ZMB"/>
    <s v="Sub-Saharan Africa"/>
    <n v="535"/>
    <n v="93"/>
    <n v="0.93"/>
    <n v="12565085"/>
    <n v="4.2578303290427408"/>
  </r>
  <r>
    <x v="45"/>
    <x v="8"/>
    <s v="ZMB"/>
    <s v="Sub-Saharan Africa"/>
    <n v="140"/>
    <n v="87"/>
    <n v="0.87"/>
    <n v="13021324"/>
    <n v="1.0751594845501118"/>
  </r>
  <r>
    <x v="45"/>
    <x v="9"/>
    <s v="ZMB"/>
    <s v="Sub-Saharan Africa"/>
    <n v="26"/>
    <n v="90"/>
    <n v="0.9"/>
    <n v="13490389"/>
    <n v="0.19272980193528891"/>
  </r>
  <r>
    <x v="45"/>
    <x v="10"/>
    <s v="ZMB"/>
    <s v="Sub-Saharan Africa"/>
    <n v="15754"/>
    <n v="96"/>
    <n v="0.96"/>
    <n v="13965594"/>
    <n v="112.80579973898712"/>
  </r>
  <r>
    <x v="45"/>
    <x v="11"/>
    <s v="ZMB"/>
    <s v="Sub-Saharan Africa"/>
    <n v="13234"/>
    <n v="83"/>
    <n v="0.83"/>
    <n v="14437796"/>
    <n v="91.662189990771452"/>
  </r>
  <r>
    <x v="45"/>
    <x v="12"/>
    <s v="ZMB"/>
    <s v="Sub-Saharan Africa"/>
    <n v="896"/>
    <n v="82"/>
    <n v="0.82"/>
    <n v="14913629"/>
    <n v="6.0079273797142196"/>
  </r>
  <r>
    <x v="45"/>
    <x v="13"/>
    <s v="ZMB"/>
    <s v="Sub-Saharan Africa"/>
    <n v="35"/>
    <n v="80"/>
    <n v="0.8"/>
    <n v="15398997"/>
    <n v="0.22728753048006956"/>
  </r>
  <r>
    <x v="45"/>
    <x v="14"/>
    <s v="ZMB"/>
    <s v="Sub-Saharan Africa"/>
    <n v="9"/>
    <n v="85"/>
    <n v="0.85"/>
    <n v="15895315"/>
    <n v="5.6620457034038014E-2"/>
  </r>
  <r>
    <x v="45"/>
    <x v="15"/>
    <s v="ZMB"/>
    <s v="Sub-Saharan Africa"/>
    <n v="9"/>
    <n v="90"/>
    <n v="0.9"/>
    <n v="16399089"/>
    <n v="5.48810973585179E-2"/>
  </r>
  <r>
    <x v="45"/>
    <x v="16"/>
    <s v="ZMB"/>
    <s v="Sub-Saharan Africa"/>
    <n v="8"/>
    <n v="97"/>
    <n v="0.97"/>
    <n v="16914423"/>
    <n v="4.7296913409343021E-2"/>
  </r>
  <r>
    <x v="45"/>
    <x v="17"/>
    <s v="ZMB"/>
    <s v="Sub-Saharan Africa"/>
    <n v="13"/>
    <n v="96"/>
    <n v="0.96"/>
    <n v="17441320"/>
    <n v="7.453564294445604E-2"/>
  </r>
  <r>
    <x v="45"/>
    <x v="18"/>
    <s v="ZMB"/>
    <s v="Sub-Saharan Africa"/>
    <n v="11"/>
    <n v="94"/>
    <n v="0.94"/>
    <n v="17973569"/>
    <n v="6.1200977947117791E-2"/>
  </r>
  <r>
    <x v="45"/>
    <x v="19"/>
    <s v="ZMB"/>
    <s v="Sub-Saharan Africa"/>
    <n v="15"/>
    <n v="93"/>
    <n v="0.93"/>
    <n v="18513839"/>
    <n v="8.1020473387502179E-2"/>
  </r>
  <r>
    <x v="45"/>
    <x v="20"/>
    <s v="ZMB"/>
    <s v="Sub-Saharan Africa"/>
    <n v="237"/>
    <n v="96"/>
    <n v="0.96"/>
    <n v="19059395"/>
    <n v="1.2434812332710456"/>
  </r>
  <r>
    <x v="45"/>
    <x v="21"/>
    <s v="ZMB"/>
    <s v="Sub-Saharan Africa"/>
    <n v="55"/>
    <n v="90"/>
    <n v="0.9"/>
    <n v="19603607"/>
    <n v="0.28056061315654818"/>
  </r>
  <r>
    <x v="45"/>
    <x v="22"/>
    <s v="ZMB"/>
    <s v="Sub-Saharan Africa"/>
    <n v="1755"/>
    <n v="88"/>
    <n v="0.88"/>
    <n v="20152938"/>
    <n v="8.7084076773322074"/>
  </r>
  <r>
    <x v="45"/>
    <x v="23"/>
    <s v="ZMB"/>
    <s v="Sub-Saharan Africa"/>
    <n v="5653"/>
    <n v="83"/>
    <n v="0.83"/>
    <n v="20723965"/>
    <n v="27.277598664155242"/>
  </r>
  <r>
    <x v="45"/>
    <x v="24"/>
    <s v="ZMB"/>
    <s v="Sub-Saharan Africa"/>
    <n v="299"/>
    <n v="88"/>
    <n v="0.88"/>
    <n v="21314956"/>
    <n v="1.4027708994567007"/>
  </r>
  <r>
    <x v="46"/>
    <x v="0"/>
    <s v="ZWE"/>
    <s v="Sub-Saharan Africa"/>
    <n v="1483"/>
    <n v="75"/>
    <n v="0.75"/>
    <n v="11892055"/>
    <n v="12.470510773789726"/>
  </r>
  <r>
    <x v="46"/>
    <x v="1"/>
    <s v="ZWE"/>
    <s v="Sub-Saharan Africa"/>
    <n v="529"/>
    <n v="73"/>
    <n v="0.73"/>
    <n v="11971901"/>
    <n v="4.4186800408723732"/>
  </r>
  <r>
    <x v="46"/>
    <x v="2"/>
    <s v="ZWE"/>
    <s v="Sub-Saharan Africa"/>
    <n v="304"/>
    <n v="70"/>
    <n v="0.7"/>
    <n v="12087653"/>
    <n v="2.514962995711409"/>
  </r>
  <r>
    <x v="46"/>
    <x v="3"/>
    <s v="ZWE"/>
    <s v="Sub-Saharan Africa"/>
    <n v="998"/>
    <n v="68"/>
    <n v="0.68"/>
    <n v="12232323"/>
    <n v="8.1587119633776837"/>
  </r>
  <r>
    <x v="46"/>
    <x v="4"/>
    <s v="ZWE"/>
    <s v="Sub-Saharan Africa"/>
    <n v="31"/>
    <n v="66"/>
    <n v="0.66"/>
    <n v="12365896"/>
    <n v="0.25068947692912835"/>
  </r>
  <r>
    <x v="46"/>
    <x v="5"/>
    <s v="ZWE"/>
    <s v="Sub-Saharan Africa"/>
    <n v="420"/>
    <n v="67"/>
    <n v="0.67"/>
    <n v="12483432"/>
    <n v="3.3644593890526262"/>
  </r>
  <r>
    <x v="46"/>
    <x v="6"/>
    <s v="ZWE"/>
    <s v="Sub-Saharan Africa"/>
    <n v="212"/>
    <n v="68"/>
    <n v="0.68"/>
    <n v="12636445"/>
    <n v="1.6776870393532357"/>
  </r>
  <r>
    <x v="46"/>
    <x v="7"/>
    <s v="ZWE"/>
    <s v="Sub-Saharan Africa"/>
    <n v="242"/>
    <n v="69"/>
    <n v="0.69"/>
    <n v="12804058"/>
    <n v="1.8900258027572197"/>
  </r>
  <r>
    <x v="46"/>
    <x v="8"/>
    <s v="ZWE"/>
    <s v="Sub-Saharan Africa"/>
    <n v="0"/>
    <n v="70"/>
    <n v="0.7"/>
    <n v="12959149"/>
    <n v="0"/>
  </r>
  <r>
    <x v="46"/>
    <x v="9"/>
    <s v="ZWE"/>
    <s v="Sub-Saharan Africa"/>
    <n v="853"/>
    <n v="76"/>
    <n v="0.76"/>
    <n v="13142790"/>
    <n v="6.4902505480191035"/>
  </r>
  <r>
    <x v="46"/>
    <x v="10"/>
    <s v="ZWE"/>
    <s v="Sub-Saharan Africa"/>
    <n v="9696"/>
    <n v="90"/>
    <n v="0.9"/>
    <n v="13356548"/>
    <n v="72.59360727038154"/>
  </r>
  <r>
    <x v="46"/>
    <x v="11"/>
    <s v="ZWE"/>
    <s v="Sub-Saharan Africa"/>
    <n v="0"/>
    <n v="92"/>
    <n v="0.92"/>
    <n v="13595424"/>
    <n v="0"/>
  </r>
  <r>
    <x v="46"/>
    <x v="12"/>
    <s v="ZWE"/>
    <s v="Sub-Saharan Africa"/>
    <n v="0"/>
    <n v="97"/>
    <n v="0.97"/>
    <n v="13817887"/>
    <n v="0"/>
  </r>
  <r>
    <x v="46"/>
    <x v="13"/>
    <s v="ZWE"/>
    <s v="Sub-Saharan Africa"/>
    <n v="0"/>
    <n v="93"/>
    <n v="0.93"/>
    <n v="14013808"/>
    <n v="0"/>
  </r>
  <r>
    <x v="46"/>
    <x v="14"/>
    <s v="ZWE"/>
    <s v="Sub-Saharan Africa"/>
    <n v="0"/>
    <n v="92"/>
    <n v="0.92"/>
    <n v="14207359"/>
    <n v="0"/>
  </r>
  <r>
    <x v="46"/>
    <x v="15"/>
    <s v="ZWE"/>
    <s v="Sub-Saharan Africa"/>
    <n v="0"/>
    <n v="86"/>
    <n v="0.86"/>
    <n v="14399013"/>
    <n v="0"/>
  </r>
  <r>
    <x v="46"/>
    <x v="16"/>
    <s v="ZWE"/>
    <s v="Sub-Saharan Africa"/>
    <n v="1"/>
    <n v="95"/>
    <n v="0.95"/>
    <n v="14600294"/>
    <n v="6.8491771467067723E-3"/>
  </r>
  <r>
    <x v="46"/>
    <x v="17"/>
    <s v="ZWE"/>
    <s v="Sub-Saharan Africa"/>
    <n v="1"/>
    <n v="90"/>
    <n v="0.9"/>
    <n v="14812482"/>
    <n v="6.7510630561441361E-3"/>
  </r>
  <r>
    <x v="46"/>
    <x v="18"/>
    <s v="ZWE"/>
    <s v="Sub-Saharan Africa"/>
    <n v="1"/>
    <n v="88"/>
    <n v="0.88"/>
    <n v="15034452"/>
    <n v="6.6513897546781218E-3"/>
  </r>
  <r>
    <x v="46"/>
    <x v="19"/>
    <s v="ZWE"/>
    <s v="Sub-Saharan Africa"/>
    <n v="4"/>
    <n v="85"/>
    <n v="0.85"/>
    <n v="15271368"/>
    <n v="2.6192807350330371E-2"/>
  </r>
  <r>
    <x v="46"/>
    <x v="20"/>
    <s v="ZWE"/>
    <s v="Sub-Saharan Africa"/>
    <n v="3"/>
    <n v="85"/>
    <n v="0.85"/>
    <n v="15526888"/>
    <n v="1.9321321825725799E-2"/>
  </r>
  <r>
    <x v="46"/>
    <x v="21"/>
    <s v="ZWE"/>
    <s v="Sub-Saharan Africa"/>
    <n v="282"/>
    <n v="88"/>
    <n v="0.88"/>
    <n v="15797210"/>
    <n v="1.7851253480836173"/>
  </r>
  <r>
    <x v="46"/>
    <x v="22"/>
    <s v="ZWE"/>
    <s v="Sub-Saharan Africa"/>
    <n v="5532"/>
    <n v="90"/>
    <n v="0.9"/>
    <n v="16069056"/>
    <n v="34.42641559031221"/>
  </r>
  <r>
    <x v="46"/>
    <x v="23"/>
    <s v="ZWE"/>
    <s v="Sub-Saharan Africa"/>
    <n v="5532"/>
    <n v="90"/>
    <n v="0.9"/>
    <n v="16340822"/>
    <n v="33.85386610294146"/>
  </r>
  <r>
    <x v="46"/>
    <x v="24"/>
    <s v="ZWE"/>
    <s v="Sub-Saharan Africa"/>
    <m/>
    <n v="90"/>
    <n v="0.9"/>
    <n v="1663437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E1AD29-5879-40A2-9985-6A1979199047}"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location ref="D21:E31" firstHeaderRow="1" firstDataRow="1" firstDataCol="1" rowPageCount="1" colPageCount="1"/>
  <pivotFields count="9">
    <pivotField name="Country" axis="axisRow" compact="0" outline="0" showAll="0" measureFilter="1" sortType="descending">
      <items count="48">
        <item x="0"/>
        <item x="1"/>
        <item x="2"/>
        <item x="3"/>
        <item x="4"/>
        <item x="11"/>
        <item x="5"/>
        <item x="6"/>
        <item x="40"/>
        <item x="7"/>
        <item x="8"/>
        <item x="9"/>
        <item x="10"/>
        <item x="18"/>
        <item x="38"/>
        <item x="12"/>
        <item x="13"/>
        <item x="16"/>
        <item x="14"/>
        <item x="15"/>
        <item x="17"/>
        <item x="19"/>
        <item x="21"/>
        <item x="20"/>
        <item x="22"/>
        <item x="27"/>
        <item x="23"/>
        <item x="25"/>
        <item x="26"/>
        <item x="24"/>
        <item x="28"/>
        <item x="29"/>
        <item x="30"/>
        <item x="31"/>
        <item x="37"/>
        <item x="33"/>
        <item x="39"/>
        <item x="34"/>
        <item x="35"/>
        <item x="44"/>
        <item x="36"/>
        <item x="32"/>
        <item x="41"/>
        <item x="43"/>
        <item x="42"/>
        <item x="45"/>
        <item x="46"/>
        <item t="default"/>
      </items>
      <autoSortScope>
        <pivotArea dataOnly="0" outline="0" fieldPosition="0">
          <references count="1">
            <reference field="4294967294" count="1" selected="0">
              <x v="0"/>
            </reference>
          </references>
        </pivotArea>
      </autoSortScope>
    </pivotField>
    <pivotField axis="axisPage" compact="0" numFmtId="1"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compact="0" outline="0" showAll="0"/>
    <pivotField compact="0" outline="0" showAll="0"/>
    <pivotField compact="0" outline="0" showAll="0"/>
    <pivotField dataField="1" compact="0" numFmtId="1" outline="0" showAll="0"/>
    <pivotField compact="0" outline="0" showAll="0"/>
    <pivotField compact="0" numFmtId="1" outline="0" showAll="0"/>
    <pivotField compact="0" outline="0" showAll="0"/>
  </pivotFields>
  <rowFields count="1">
    <field x="0"/>
  </rowFields>
  <rowItems count="10">
    <i>
      <x v="19"/>
    </i>
    <i>
      <x v="32"/>
    </i>
    <i>
      <x v="16"/>
    </i>
    <i>
      <x v="12"/>
    </i>
    <i>
      <x/>
    </i>
    <i>
      <x v="13"/>
    </i>
    <i>
      <x v="41"/>
    </i>
    <i>
      <x v="24"/>
    </i>
    <i>
      <x v="1"/>
    </i>
    <i>
      <x v="7"/>
    </i>
  </rowItems>
  <colItems count="1">
    <i/>
  </colItems>
  <pageFields count="1">
    <pageField fld="1" item="24" hier="-1"/>
  </pageFields>
  <dataFields count="1">
    <dataField name="Average of Coverage (%)" fld="5" subtotal="average" baseField="0" baseItem="0" numFmtId="1"/>
  </dataField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DEC325-6823-4BB6-B569-ED93E9025E34}" name="Country Comparison (Latest Year)"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D5:E15" firstHeaderRow="1" firstDataRow="1" firstDataCol="1" rowPageCount="1" colPageCount="1"/>
  <pivotFields count="9">
    <pivotField name="Country" axis="axisRow" compact="0" outline="0" showAll="0" measureFilter="1" sortType="descending">
      <items count="48">
        <item x="0"/>
        <item x="1"/>
        <item x="2"/>
        <item x="3"/>
        <item x="4"/>
        <item x="11"/>
        <item x="5"/>
        <item x="6"/>
        <item x="40"/>
        <item x="7"/>
        <item x="8"/>
        <item x="9"/>
        <item x="10"/>
        <item x="18"/>
        <item x="38"/>
        <item x="12"/>
        <item x="13"/>
        <item x="16"/>
        <item x="14"/>
        <item x="15"/>
        <item x="17"/>
        <item x="19"/>
        <item x="21"/>
        <item x="20"/>
        <item x="22"/>
        <item x="27"/>
        <item x="23"/>
        <item x="25"/>
        <item x="26"/>
        <item x="24"/>
        <item x="28"/>
        <item x="29"/>
        <item x="30"/>
        <item x="31"/>
        <item x="37"/>
        <item x="33"/>
        <item x="39"/>
        <item x="34"/>
        <item x="35"/>
        <item x="44"/>
        <item x="36"/>
        <item x="32"/>
        <item x="41"/>
        <item x="43"/>
        <item x="42"/>
        <item x="45"/>
        <item x="46"/>
        <item t="default"/>
      </items>
      <autoSortScope>
        <pivotArea dataOnly="0" outline="0" fieldPosition="0">
          <references count="1">
            <reference field="4294967294" count="1" selected="0">
              <x v="0"/>
            </reference>
          </references>
        </pivotArea>
      </autoSortScope>
    </pivotField>
    <pivotField axis="axisPage" compact="0" numFmtId="1"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compact="0" outline="0" showAll="0"/>
    <pivotField compact="0" outline="0" showAll="0"/>
    <pivotField compact="0" outline="0" showAll="0"/>
    <pivotField compact="0" numFmtId="1" outline="0" showAll="0"/>
    <pivotField compact="0" outline="0" showAll="0"/>
    <pivotField compact="0" numFmtId="1" outline="0" showAll="0"/>
    <pivotField dataField="1" compact="0" outline="0" showAll="0"/>
  </pivotFields>
  <rowFields count="1">
    <field x="0"/>
  </rowFields>
  <rowItems count="10">
    <i>
      <x v="12"/>
    </i>
    <i>
      <x v="8"/>
    </i>
    <i>
      <x v="40"/>
    </i>
    <i>
      <x v="13"/>
    </i>
    <i>
      <x v="15"/>
    </i>
    <i>
      <x v="27"/>
    </i>
    <i>
      <x v="4"/>
    </i>
    <i>
      <x v="23"/>
    </i>
    <i>
      <x v="3"/>
    </i>
    <i>
      <x v="31"/>
    </i>
  </rowItems>
  <colItems count="1">
    <i/>
  </colItems>
  <pageFields count="1">
    <pageField fld="1" item="24" hier="-1"/>
  </pageFields>
  <dataFields count="1">
    <dataField name="Average of Incidence_per_100k" fld="8" subtotal="average" baseField="0" baseItem="0" numFmtId="2"/>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79146F-973F-46AB-8EE8-31D16C01549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G5:I52" firstHeaderRow="0" firstDataRow="1" firstDataCol="1" rowPageCount="1" colPageCount="1"/>
  <pivotFields count="9">
    <pivotField name="Country" axis="axisRow" compact="0" outline="0" showAll="0" sortType="descending">
      <items count="48">
        <item x="0"/>
        <item x="1"/>
        <item x="2"/>
        <item x="3"/>
        <item x="4"/>
        <item x="11"/>
        <item x="5"/>
        <item x="6"/>
        <item x="40"/>
        <item x="7"/>
        <item x="8"/>
        <item x="9"/>
        <item x="10"/>
        <item x="18"/>
        <item x="38"/>
        <item x="12"/>
        <item x="13"/>
        <item x="16"/>
        <item x="14"/>
        <item x="15"/>
        <item x="17"/>
        <item x="19"/>
        <item x="21"/>
        <item x="20"/>
        <item x="22"/>
        <item x="27"/>
        <item x="23"/>
        <item x="25"/>
        <item x="26"/>
        <item x="24"/>
        <item x="28"/>
        <item x="29"/>
        <item x="30"/>
        <item x="31"/>
        <item x="37"/>
        <item x="33"/>
        <item x="39"/>
        <item x="34"/>
        <item x="35"/>
        <item x="44"/>
        <item x="36"/>
        <item x="32"/>
        <item x="41"/>
        <item x="43"/>
        <item x="42"/>
        <item x="45"/>
        <item x="46"/>
        <item t="default"/>
      </items>
      <autoSortScope>
        <pivotArea dataOnly="0" outline="0" fieldPosition="0">
          <references count="1">
            <reference field="4294967294" count="1" selected="0">
              <x v="0"/>
            </reference>
          </references>
        </pivotArea>
      </autoSortScope>
    </pivotField>
    <pivotField axis="axisPage" compact="0" numFmtId="1"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compact="0" outline="0" showAll="0"/>
    <pivotField compact="0" outline="0" showAll="0"/>
    <pivotField compact="0" outline="0" showAll="0"/>
    <pivotField dataField="1" compact="0" numFmtId="1" outline="0" showAll="0"/>
    <pivotField compact="0" outline="0" showAll="0"/>
    <pivotField compact="0" numFmtId="1" outline="0" showAll="0"/>
    <pivotField dataField="1" compact="0" outline="0" showAll="0"/>
  </pivotFields>
  <rowFields count="1">
    <field x="0"/>
  </rowFields>
  <rowItems count="47">
    <i>
      <x v="12"/>
    </i>
    <i>
      <x v="8"/>
    </i>
    <i>
      <x v="40"/>
    </i>
    <i>
      <x v="13"/>
    </i>
    <i>
      <x v="15"/>
    </i>
    <i>
      <x v="27"/>
    </i>
    <i>
      <x v="4"/>
    </i>
    <i>
      <x v="23"/>
    </i>
    <i>
      <x v="3"/>
    </i>
    <i>
      <x v="31"/>
    </i>
    <i>
      <x v="38"/>
    </i>
    <i>
      <x v="10"/>
    </i>
    <i>
      <x v="32"/>
    </i>
    <i>
      <x v="11"/>
    </i>
    <i>
      <x v="18"/>
    </i>
    <i>
      <x v="1"/>
    </i>
    <i>
      <x v="25"/>
    </i>
    <i>
      <x v="43"/>
    </i>
    <i>
      <x v="19"/>
    </i>
    <i>
      <x v="42"/>
    </i>
    <i>
      <x v="29"/>
    </i>
    <i>
      <x v="6"/>
    </i>
    <i>
      <x v="35"/>
    </i>
    <i>
      <x v="41"/>
    </i>
    <i>
      <x v="21"/>
    </i>
    <i>
      <x v="7"/>
    </i>
    <i>
      <x v="9"/>
    </i>
    <i>
      <x v="36"/>
    </i>
    <i>
      <x/>
    </i>
    <i>
      <x v="26"/>
    </i>
    <i>
      <x v="37"/>
    </i>
    <i>
      <x v="39"/>
    </i>
    <i>
      <x v="44"/>
    </i>
    <i>
      <x v="45"/>
    </i>
    <i>
      <x v="16"/>
    </i>
    <i>
      <x v="30"/>
    </i>
    <i>
      <x v="33"/>
    </i>
    <i>
      <x v="24"/>
    </i>
    <i>
      <x v="17"/>
    </i>
    <i>
      <x v="2"/>
    </i>
    <i>
      <x v="22"/>
    </i>
    <i>
      <x v="5"/>
    </i>
    <i>
      <x v="28"/>
    </i>
    <i>
      <x v="14"/>
    </i>
    <i>
      <x v="20"/>
    </i>
    <i>
      <x v="46"/>
    </i>
    <i>
      <x v="34"/>
    </i>
  </rowItems>
  <colFields count="1">
    <field x="-2"/>
  </colFields>
  <colItems count="2">
    <i>
      <x/>
    </i>
    <i i="1">
      <x v="1"/>
    </i>
  </colItems>
  <pageFields count="1">
    <pageField fld="1" item="24" hier="-1"/>
  </pageFields>
  <dataFields count="2">
    <dataField name="Average of Incidence_per_100k" fld="8" subtotal="average" baseField="0" baseItem="0" numFmtId="2"/>
    <dataField name="Average of Coverage (%)" fld="5" subtotal="average" baseField="0" baseItem="0" numFmtId="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633F08-93FB-4355-A3EB-16611CB2BC5B}" name="Coverage Trend"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location ref="A3:B16" firstHeaderRow="1" firstDataRow="1" firstDataCol="1"/>
  <pivotFields count="9">
    <pivotField compact="0" outline="0" showAll="0"/>
    <pivotField axis="axisRow" compact="0" numFmtId="1" outline="0" showAll="0">
      <items count="26">
        <item x="0"/>
        <item h="1" x="1"/>
        <item x="2"/>
        <item h="1" x="3"/>
        <item x="4"/>
        <item h="1" x="5"/>
        <item x="6"/>
        <item h="1" x="7"/>
        <item x="8"/>
        <item h="1" x="9"/>
        <item x="10"/>
        <item h="1" x="11"/>
        <item x="12"/>
        <item h="1" x="13"/>
        <item x="14"/>
        <item h="1" x="15"/>
        <item x="16"/>
        <item h="1" x="17"/>
        <item x="18"/>
        <item h="1" x="19"/>
        <item x="20"/>
        <item h="1" x="21"/>
        <item x="22"/>
        <item h="1" x="23"/>
        <item x="24"/>
        <item t="default"/>
      </items>
    </pivotField>
    <pivotField compact="0" outline="0" showAll="0"/>
    <pivotField compact="0" outline="0" showAll="0"/>
    <pivotField compact="0" outline="0" showAll="0"/>
    <pivotField dataField="1" compact="0" numFmtId="1" outline="0" showAll="0"/>
    <pivotField compact="0" outline="0" showAll="0"/>
    <pivotField compact="0" numFmtId="1" outline="0" showAll="0"/>
    <pivotField compact="0" outline="0" showAll="0"/>
  </pivotFields>
  <rowFields count="1">
    <field x="1"/>
  </rowFields>
  <rowItems count="13">
    <i>
      <x/>
    </i>
    <i>
      <x v="2"/>
    </i>
    <i>
      <x v="4"/>
    </i>
    <i>
      <x v="6"/>
    </i>
    <i>
      <x v="8"/>
    </i>
    <i>
      <x v="10"/>
    </i>
    <i>
      <x v="12"/>
    </i>
    <i>
      <x v="14"/>
    </i>
    <i>
      <x v="16"/>
    </i>
    <i>
      <x v="18"/>
    </i>
    <i>
      <x v="20"/>
    </i>
    <i>
      <x v="22"/>
    </i>
    <i>
      <x v="24"/>
    </i>
  </rowItems>
  <colItems count="1">
    <i/>
  </colItems>
  <dataFields count="1">
    <dataField name="Average of Coverage (%)" fld="5" subtotal="average" baseField="1"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96CB27-3E52-40A7-B2D9-6E43828AED74}" name="Coverage vs Cases Relationshi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A35:C48" firstHeaderRow="0" firstDataRow="1" firstDataCol="1"/>
  <pivotFields count="9">
    <pivotField compact="0" outline="0" showAll="0">
      <items count="48">
        <item x="0"/>
        <item x="1"/>
        <item x="2"/>
        <item x="3"/>
        <item x="4"/>
        <item x="11"/>
        <item x="5"/>
        <item x="6"/>
        <item x="40"/>
        <item x="7"/>
        <item x="8"/>
        <item x="9"/>
        <item x="10"/>
        <item x="18"/>
        <item x="38"/>
        <item x="12"/>
        <item x="13"/>
        <item x="16"/>
        <item x="14"/>
        <item x="15"/>
        <item x="17"/>
        <item x="19"/>
        <item x="21"/>
        <item x="20"/>
        <item x="22"/>
        <item x="27"/>
        <item x="23"/>
        <item x="25"/>
        <item x="26"/>
        <item x="24"/>
        <item x="28"/>
        <item x="29"/>
        <item x="30"/>
        <item x="31"/>
        <item x="37"/>
        <item x="33"/>
        <item x="39"/>
        <item x="34"/>
        <item x="35"/>
        <item x="44"/>
        <item x="36"/>
        <item x="32"/>
        <item x="41"/>
        <item x="43"/>
        <item x="42"/>
        <item x="45"/>
        <item x="46"/>
        <item t="default"/>
      </items>
    </pivotField>
    <pivotField axis="axisRow" compact="0" numFmtId="1" outline="0" showAll="0" sortType="ascending">
      <items count="26">
        <item x="0"/>
        <item h="1" x="1"/>
        <item x="2"/>
        <item h="1" x="3"/>
        <item x="4"/>
        <item h="1" x="5"/>
        <item x="6"/>
        <item h="1" x="7"/>
        <item x="8"/>
        <item h="1" x="9"/>
        <item x="10"/>
        <item h="1" x="11"/>
        <item x="12"/>
        <item h="1" x="13"/>
        <item x="14"/>
        <item h="1" x="15"/>
        <item x="16"/>
        <item h="1" x="17"/>
        <item x="18"/>
        <item h="1" x="19"/>
        <item x="20"/>
        <item h="1" x="21"/>
        <item x="22"/>
        <item h="1" x="23"/>
        <item x="2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numFmtId="1" outline="0" showAll="0"/>
    <pivotField compact="0" outline="0" showAll="0"/>
    <pivotField compact="0" numFmtId="1" outline="0" showAll="0"/>
    <pivotField dataField="1" compact="0" outline="0" showAll="0"/>
  </pivotFields>
  <rowFields count="1">
    <field x="1"/>
  </rowFields>
  <rowItems count="13">
    <i>
      <x v="8"/>
    </i>
    <i>
      <x v="6"/>
    </i>
    <i>
      <x v="14"/>
    </i>
    <i>
      <x v="16"/>
    </i>
    <i>
      <x v="20"/>
    </i>
    <i>
      <x v="24"/>
    </i>
    <i>
      <x v="18"/>
    </i>
    <i>
      <x v="12"/>
    </i>
    <i>
      <x v="22"/>
    </i>
    <i>
      <x v="10"/>
    </i>
    <i>
      <x v="4"/>
    </i>
    <i>
      <x v="2"/>
    </i>
    <i>
      <x/>
    </i>
  </rowItems>
  <colFields count="1">
    <field x="-2"/>
  </colFields>
  <colItems count="2">
    <i>
      <x/>
    </i>
    <i i="1">
      <x v="1"/>
    </i>
  </colItems>
  <dataFields count="2">
    <dataField name="Average Incidence_per_100k" fld="8" subtotal="average" baseField="1" baseItem="1" numFmtId="2"/>
    <dataField name="Average Coverage (%)" fld="5" subtotal="average" baseField="1" baseItem="1" numFmtId="1"/>
  </dataFields>
  <chartFormats count="2">
    <chartFormat chart="11" format="5"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836CA7-6CF6-4DA6-832E-7B19C88B81F4}" name="Measles Burden Trend"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A19:B32" firstHeaderRow="1" firstDataRow="1" firstDataCol="1"/>
  <pivotFields count="9">
    <pivotField compact="0" outline="0" showAll="0">
      <items count="48">
        <item x="0"/>
        <item x="1"/>
        <item x="2"/>
        <item x="3"/>
        <item x="4"/>
        <item x="11"/>
        <item x="5"/>
        <item x="6"/>
        <item x="40"/>
        <item x="7"/>
        <item x="8"/>
        <item x="9"/>
        <item x="10"/>
        <item x="18"/>
        <item x="38"/>
        <item x="12"/>
        <item x="13"/>
        <item x="16"/>
        <item x="14"/>
        <item x="15"/>
        <item x="17"/>
        <item x="19"/>
        <item x="21"/>
        <item x="20"/>
        <item x="22"/>
        <item x="27"/>
        <item x="23"/>
        <item x="25"/>
        <item x="26"/>
        <item x="24"/>
        <item x="28"/>
        <item x="29"/>
        <item x="30"/>
        <item x="31"/>
        <item x="37"/>
        <item x="33"/>
        <item x="39"/>
        <item x="34"/>
        <item x="35"/>
        <item x="44"/>
        <item x="36"/>
        <item x="32"/>
        <item x="41"/>
        <item x="43"/>
        <item x="42"/>
        <item x="45"/>
        <item x="46"/>
        <item t="default"/>
      </items>
    </pivotField>
    <pivotField axis="axisRow" compact="0" numFmtId="1" outline="0" showAll="0" sortType="ascending">
      <items count="26">
        <item x="0"/>
        <item h="1" x="1"/>
        <item x="2"/>
        <item h="1" x="3"/>
        <item x="4"/>
        <item h="1" x="5"/>
        <item x="6"/>
        <item h="1" x="7"/>
        <item x="8"/>
        <item h="1" x="9"/>
        <item x="10"/>
        <item h="1" x="11"/>
        <item x="12"/>
        <item h="1" x="13"/>
        <item x="14"/>
        <item h="1" x="15"/>
        <item x="16"/>
        <item h="1" x="17"/>
        <item x="18"/>
        <item h="1" x="19"/>
        <item x="20"/>
        <item h="1" x="21"/>
        <item x="22"/>
        <item h="1" x="23"/>
        <item x="24"/>
        <item t="default"/>
      </items>
    </pivotField>
    <pivotField compact="0" outline="0" showAll="0"/>
    <pivotField compact="0" outline="0" showAll="0"/>
    <pivotField compact="0" outline="0" showAll="0"/>
    <pivotField compact="0" numFmtId="1" outline="0" showAll="0"/>
    <pivotField compact="0" outline="0" showAll="0"/>
    <pivotField compact="0" numFmtId="1" outline="0" showAll="0"/>
    <pivotField dataField="1" compact="0" outline="0" showAll="0"/>
  </pivotFields>
  <rowFields count="1">
    <field x="1"/>
  </rowFields>
  <rowItems count="13">
    <i>
      <x/>
    </i>
    <i>
      <x v="2"/>
    </i>
    <i>
      <x v="4"/>
    </i>
    <i>
      <x v="6"/>
    </i>
    <i>
      <x v="8"/>
    </i>
    <i>
      <x v="10"/>
    </i>
    <i>
      <x v="12"/>
    </i>
    <i>
      <x v="14"/>
    </i>
    <i>
      <x v="16"/>
    </i>
    <i>
      <x v="18"/>
    </i>
    <i>
      <x v="20"/>
    </i>
    <i>
      <x v="22"/>
    </i>
    <i>
      <x v="24"/>
    </i>
  </rowItems>
  <colItems count="1">
    <i/>
  </colItems>
  <dataFields count="1">
    <dataField name="Average of Incidence_per_100k" fld="8" subtotal="average" baseField="1" baseItem="0" numFmtId="2"/>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5A6D67E-6149-4309-BAC4-CAB99CF5CDDA}" autoFormatId="16" applyNumberFormats="0" applyBorderFormats="0" applyFontFormats="0" applyPatternFormats="0" applyAlignmentFormats="0" applyWidthHeightFormats="0">
  <queryTableRefresh nextId="11">
    <queryTableFields count="9">
      <queryTableField id="1" name="Country" tableColumnId="9"/>
      <queryTableField id="2" name="Year" tableColumnId="2"/>
      <queryTableField id="3" name="Country code" tableColumnId="3"/>
      <queryTableField id="4" name="Region" tableColumnId="4"/>
      <queryTableField id="5" name="Cases" tableColumnId="5"/>
      <queryTableField id="10" dataBound="0" tableColumnId="11"/>
      <queryTableField id="6" name="Coverage" tableColumnId="6"/>
      <queryTableField id="7" name="Population" tableColumnId="7"/>
      <queryTableField id="8" name="Incidence_per_100k"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1FD191B-E100-4BA5-9E2F-EDB9B9C7AF2E}" sourceName="Country">
  <pivotTables>
    <pivotTable tabId="7" name="Coverage vs Cases Relationship"/>
    <pivotTable tabId="7" name="Measles Burden Trend"/>
  </pivotTables>
  <data>
    <tabular pivotCacheId="1644973155">
      <items count="47">
        <i x="0" s="1"/>
        <i x="1" s="1"/>
        <i x="2" s="1"/>
        <i x="3" s="1"/>
        <i x="4" s="1"/>
        <i x="11" s="1"/>
        <i x="5" s="1"/>
        <i x="6" s="1"/>
        <i x="40" s="1"/>
        <i x="7" s="1"/>
        <i x="8" s="1"/>
        <i x="9" s="1"/>
        <i x="10" s="1"/>
        <i x="18" s="1"/>
        <i x="38" s="1"/>
        <i x="12" s="1"/>
        <i x="13" s="1"/>
        <i x="16" s="1"/>
        <i x="14" s="1"/>
        <i x="15" s="1"/>
        <i x="17" s="1"/>
        <i x="19" s="1"/>
        <i x="21" s="1"/>
        <i x="20" s="1"/>
        <i x="22" s="1"/>
        <i x="27" s="1"/>
        <i x="23" s="1"/>
        <i x="25" s="1"/>
        <i x="26" s="1"/>
        <i x="24" s="1"/>
        <i x="28" s="1"/>
        <i x="29" s="1"/>
        <i x="30" s="1"/>
        <i x="31" s="1"/>
        <i x="37" s="1"/>
        <i x="33" s="1"/>
        <i x="39" s="1"/>
        <i x="34" s="1"/>
        <i x="35" s="1"/>
        <i x="44" s="1"/>
        <i x="36" s="1"/>
        <i x="32" s="1"/>
        <i x="41" s="1"/>
        <i x="43" s="1"/>
        <i x="42" s="1"/>
        <i x="45" s="1"/>
        <i x="4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E1D1173-E93E-4D5E-9A52-58CCB3ECC024}" cache="Slicer_Country" caption="Count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BB90CE6-D65E-49AD-9B0F-D6F1CCE75352}" name="Merge2" displayName="Merge2" ref="A1:I1165" tableType="queryTable" totalsRowShown="0">
  <autoFilter ref="A1:I1165" xr:uid="{2BB90CE6-D65E-49AD-9B0F-D6F1CCE75352}"/>
  <tableColumns count="9">
    <tableColumn id="9" xr3:uid="{C8B93BEE-D9CC-47D5-A54C-38B640A6C9D9}" uniqueName="9" name="Country" queryTableFieldId="1" dataDxfId="8"/>
    <tableColumn id="2" xr3:uid="{D191DE9B-2FDD-4EEF-80E6-8AA40139287D}" uniqueName="2" name="Year" queryTableFieldId="2" dataDxfId="7"/>
    <tableColumn id="3" xr3:uid="{C3336D2B-9C83-413C-9864-442546A83D73}" uniqueName="3" name="Country code" queryTableFieldId="3" dataDxfId="6"/>
    <tableColumn id="4" xr3:uid="{DAC47C3F-E005-46E2-885A-624E471BA20A}" uniqueName="4" name="Region" queryTableFieldId="4" dataDxfId="5"/>
    <tableColumn id="5" xr3:uid="{72880025-C9B3-4F20-B35D-8ECB73FE31E4}" uniqueName="5" name="Cases" queryTableFieldId="5" dataDxfId="4"/>
    <tableColumn id="11" xr3:uid="{F2ADEA0A-0FD9-4870-A91F-B32C675971A8}" uniqueName="11" name="Coverage (%)" queryTableFieldId="10" dataDxfId="3">
      <calculatedColumnFormula>Merge2[[#This Row],[Coverage]]*100</calculatedColumnFormula>
    </tableColumn>
    <tableColumn id="6" xr3:uid="{360183A4-EF40-4F09-ADF4-107B5055C256}" uniqueName="6" name="Coverage" queryTableFieldId="6" dataDxfId="2" dataCellStyle="Percent"/>
    <tableColumn id="7" xr3:uid="{89DD2222-10F5-4B15-AFDD-8436B076AD6B}" uniqueName="7" name="Population" queryTableFieldId="7" dataDxfId="1"/>
    <tableColumn id="8" xr3:uid="{75CBC433-9C20-4BE1-B253-BEC780A5717A}" uniqueName="8" name="Incidence_per_100k" queryTableFieldId="8"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B756C-B991-4098-97C8-E8C67FB3FB71}">
  <dimension ref="A1:I1165"/>
  <sheetViews>
    <sheetView workbookViewId="0">
      <selection activeCell="K7" sqref="K7"/>
    </sheetView>
  </sheetViews>
  <sheetFormatPr defaultRowHeight="14.4" x14ac:dyDescent="0.3"/>
  <cols>
    <col min="1" max="1" width="29.21875" style="4" bestFit="1" customWidth="1"/>
    <col min="2" max="2" width="7.5546875" style="3" bestFit="1" customWidth="1"/>
    <col min="3" max="3" width="14.5546875" style="4" bestFit="1" customWidth="1"/>
    <col min="4" max="4" width="16.44140625" style="4" bestFit="1" customWidth="1"/>
    <col min="5" max="5" width="9.5546875" bestFit="1" customWidth="1"/>
    <col min="6" max="6" width="9.5546875" customWidth="1"/>
    <col min="7" max="7" width="11.109375" style="1" bestFit="1" customWidth="1"/>
    <col min="8" max="8" width="12.44140625" style="3" bestFit="1" customWidth="1"/>
    <col min="9" max="9" width="20.33203125" style="2" bestFit="1" customWidth="1"/>
  </cols>
  <sheetData>
    <row r="1" spans="1:9" x14ac:dyDescent="0.3">
      <c r="A1" s="4" t="s">
        <v>28</v>
      </c>
      <c r="B1" s="3" t="s">
        <v>0</v>
      </c>
      <c r="C1" s="4" t="s">
        <v>29</v>
      </c>
      <c r="D1" s="4" t="s">
        <v>30</v>
      </c>
      <c r="E1" t="s">
        <v>1</v>
      </c>
      <c r="F1" t="s">
        <v>108</v>
      </c>
      <c r="G1" s="1" t="s">
        <v>2</v>
      </c>
      <c r="H1" s="3" t="s">
        <v>31</v>
      </c>
      <c r="I1" s="2" t="s">
        <v>32</v>
      </c>
    </row>
    <row r="2" spans="1:9" x14ac:dyDescent="0.3">
      <c r="A2" s="4" t="s">
        <v>4</v>
      </c>
      <c r="B2" s="3">
        <v>2000</v>
      </c>
      <c r="C2" s="4" t="s">
        <v>3</v>
      </c>
      <c r="D2" s="4" t="s">
        <v>5</v>
      </c>
      <c r="E2" s="3">
        <v>2219</v>
      </c>
      <c r="F2" s="3">
        <f>Merge2[[#This Row],[Coverage]]*100</f>
        <v>41</v>
      </c>
      <c r="G2" s="1">
        <v>0.41</v>
      </c>
      <c r="H2" s="3">
        <v>16194869</v>
      </c>
      <c r="I2" s="2">
        <v>13.701870635693318</v>
      </c>
    </row>
    <row r="3" spans="1:9" x14ac:dyDescent="0.3">
      <c r="A3" s="4" t="s">
        <v>4</v>
      </c>
      <c r="B3" s="3">
        <v>2001</v>
      </c>
      <c r="C3" s="4" t="s">
        <v>3</v>
      </c>
      <c r="D3" s="4" t="s">
        <v>5</v>
      </c>
      <c r="E3" s="3">
        <v>9046</v>
      </c>
      <c r="F3" s="3">
        <f>Merge2[[#This Row],[Coverage]]*100</f>
        <v>72</v>
      </c>
      <c r="G3" s="1">
        <v>0.72</v>
      </c>
      <c r="H3" s="3">
        <v>16747208</v>
      </c>
      <c r="I3" s="2">
        <v>54.014973719798547</v>
      </c>
    </row>
    <row r="4" spans="1:9" x14ac:dyDescent="0.3">
      <c r="A4" s="4" t="s">
        <v>4</v>
      </c>
      <c r="B4" s="3">
        <v>2002</v>
      </c>
      <c r="C4" s="4" t="s">
        <v>3</v>
      </c>
      <c r="D4" s="4" t="s">
        <v>5</v>
      </c>
      <c r="E4" s="3">
        <v>11945</v>
      </c>
      <c r="F4" s="3">
        <f>Merge2[[#This Row],[Coverage]]*100</f>
        <v>74</v>
      </c>
      <c r="G4" s="1">
        <v>0.74</v>
      </c>
      <c r="H4" s="3">
        <v>17327699</v>
      </c>
      <c r="I4" s="2">
        <v>68.935869673174722</v>
      </c>
    </row>
    <row r="5" spans="1:9" x14ac:dyDescent="0.3">
      <c r="A5" s="4" t="s">
        <v>4</v>
      </c>
      <c r="B5" s="3">
        <v>2003</v>
      </c>
      <c r="C5" s="4" t="s">
        <v>3</v>
      </c>
      <c r="D5" s="4" t="s">
        <v>5</v>
      </c>
      <c r="E5" s="3">
        <v>1196</v>
      </c>
      <c r="F5" s="3">
        <f>Merge2[[#This Row],[Coverage]]*100</f>
        <v>62</v>
      </c>
      <c r="G5" s="1">
        <v>0.62</v>
      </c>
      <c r="H5" s="3">
        <v>17943712</v>
      </c>
      <c r="I5" s="2">
        <v>6.6652875391669237</v>
      </c>
    </row>
    <row r="6" spans="1:9" x14ac:dyDescent="0.3">
      <c r="A6" s="4" t="s">
        <v>4</v>
      </c>
      <c r="B6" s="3">
        <v>2004</v>
      </c>
      <c r="C6" s="4" t="s">
        <v>3</v>
      </c>
      <c r="D6" s="4" t="s">
        <v>5</v>
      </c>
      <c r="E6" s="3">
        <v>29</v>
      </c>
      <c r="F6" s="3">
        <f>Merge2[[#This Row],[Coverage]]*100</f>
        <v>64</v>
      </c>
      <c r="G6" s="1">
        <v>0.64</v>
      </c>
      <c r="H6" s="3">
        <v>18600423</v>
      </c>
      <c r="I6" s="2">
        <v>0.15591043278961988</v>
      </c>
    </row>
    <row r="7" spans="1:9" x14ac:dyDescent="0.3">
      <c r="A7" s="4" t="s">
        <v>4</v>
      </c>
      <c r="B7" s="3">
        <v>2005</v>
      </c>
      <c r="C7" s="4" t="s">
        <v>3</v>
      </c>
      <c r="D7" s="4" t="s">
        <v>5</v>
      </c>
      <c r="E7" s="3">
        <v>258</v>
      </c>
      <c r="F7" s="3">
        <f>Merge2[[#This Row],[Coverage]]*100</f>
        <v>45</v>
      </c>
      <c r="G7" s="1">
        <v>0.45</v>
      </c>
      <c r="H7" s="3">
        <v>19291161</v>
      </c>
      <c r="I7" s="2">
        <v>1.3374000662790591</v>
      </c>
    </row>
    <row r="8" spans="1:9" x14ac:dyDescent="0.3">
      <c r="A8" s="4" t="s">
        <v>4</v>
      </c>
      <c r="B8" s="3">
        <v>2006</v>
      </c>
      <c r="C8" s="4" t="s">
        <v>3</v>
      </c>
      <c r="D8" s="4" t="s">
        <v>5</v>
      </c>
      <c r="E8" s="3">
        <v>765</v>
      </c>
      <c r="F8" s="3">
        <f>Merge2[[#This Row],[Coverage]]*100</f>
        <v>48</v>
      </c>
      <c r="G8" s="1">
        <v>0.48</v>
      </c>
      <c r="H8" s="3">
        <v>20015279</v>
      </c>
      <c r="I8" s="2">
        <v>3.8220801218908815</v>
      </c>
    </row>
    <row r="9" spans="1:9" x14ac:dyDescent="0.3">
      <c r="A9" s="4" t="s">
        <v>4</v>
      </c>
      <c r="B9" s="3">
        <v>2007</v>
      </c>
      <c r="C9" s="4" t="s">
        <v>3</v>
      </c>
      <c r="D9" s="4" t="s">
        <v>5</v>
      </c>
      <c r="E9" s="3">
        <v>1014</v>
      </c>
      <c r="F9" s="3">
        <f>Merge2[[#This Row],[Coverage]]*100</f>
        <v>57.999999999999993</v>
      </c>
      <c r="G9" s="1">
        <v>0.57999999999999996</v>
      </c>
      <c r="H9" s="3">
        <v>20778561</v>
      </c>
      <c r="I9" s="2">
        <v>4.8800299501009716</v>
      </c>
    </row>
    <row r="10" spans="1:9" x14ac:dyDescent="0.3">
      <c r="A10" s="4" t="s">
        <v>4</v>
      </c>
      <c r="B10" s="3">
        <v>2008</v>
      </c>
      <c r="C10" s="4" t="s">
        <v>3</v>
      </c>
      <c r="D10" s="4" t="s">
        <v>5</v>
      </c>
      <c r="E10" s="3">
        <v>265</v>
      </c>
      <c r="F10" s="3">
        <f>Merge2[[#This Row],[Coverage]]*100</f>
        <v>57.999999999999993</v>
      </c>
      <c r="G10" s="1">
        <v>0.57999999999999996</v>
      </c>
      <c r="H10" s="3">
        <v>21578655</v>
      </c>
      <c r="I10" s="2">
        <v>1.2280654192765954</v>
      </c>
    </row>
    <row r="11" spans="1:9" x14ac:dyDescent="0.3">
      <c r="A11" s="4" t="s">
        <v>4</v>
      </c>
      <c r="B11" s="3">
        <v>2009</v>
      </c>
      <c r="C11" s="4" t="s">
        <v>3</v>
      </c>
      <c r="D11" s="4" t="s">
        <v>5</v>
      </c>
      <c r="E11" s="3">
        <v>2807</v>
      </c>
      <c r="F11" s="3">
        <f>Merge2[[#This Row],[Coverage]]*100</f>
        <v>57.999999999999993</v>
      </c>
      <c r="G11" s="1">
        <v>0.57999999999999996</v>
      </c>
      <c r="H11" s="3">
        <v>22414773</v>
      </c>
      <c r="I11" s="2">
        <v>12.522990975639145</v>
      </c>
    </row>
    <row r="12" spans="1:9" x14ac:dyDescent="0.3">
      <c r="A12" s="4" t="s">
        <v>4</v>
      </c>
      <c r="B12" s="3">
        <v>2010</v>
      </c>
      <c r="C12" s="4" t="s">
        <v>3</v>
      </c>
      <c r="D12" s="4" t="s">
        <v>5</v>
      </c>
      <c r="E12" s="3">
        <v>1190</v>
      </c>
      <c r="F12" s="3">
        <f>Merge2[[#This Row],[Coverage]]*100</f>
        <v>59</v>
      </c>
      <c r="G12" s="1">
        <v>0.59</v>
      </c>
      <c r="H12" s="3">
        <v>23294825</v>
      </c>
      <c r="I12" s="2">
        <v>5.1084307351525498</v>
      </c>
    </row>
    <row r="13" spans="1:9" x14ac:dyDescent="0.3">
      <c r="A13" s="4" t="s">
        <v>4</v>
      </c>
      <c r="B13" s="3">
        <v>2011</v>
      </c>
      <c r="C13" s="4" t="s">
        <v>3</v>
      </c>
      <c r="D13" s="4" t="s">
        <v>5</v>
      </c>
      <c r="E13" s="3">
        <v>1449</v>
      </c>
      <c r="F13" s="3">
        <f>Merge2[[#This Row],[Coverage]]*100</f>
        <v>59</v>
      </c>
      <c r="G13" s="1">
        <v>0.59</v>
      </c>
      <c r="H13" s="3">
        <v>24218352</v>
      </c>
      <c r="I13" s="2">
        <v>5.9830660649411653</v>
      </c>
    </row>
    <row r="14" spans="1:9" x14ac:dyDescent="0.3">
      <c r="A14" s="4" t="s">
        <v>4</v>
      </c>
      <c r="B14" s="3">
        <v>2012</v>
      </c>
      <c r="C14" s="4" t="s">
        <v>3</v>
      </c>
      <c r="D14" s="4" t="s">
        <v>5</v>
      </c>
      <c r="E14" s="3">
        <v>4458</v>
      </c>
      <c r="F14" s="3">
        <f>Merge2[[#This Row],[Coverage]]*100</f>
        <v>59</v>
      </c>
      <c r="G14" s="1">
        <v>0.59</v>
      </c>
      <c r="H14" s="3">
        <v>25177394</v>
      </c>
      <c r="I14" s="2">
        <v>17.706359919537345</v>
      </c>
    </row>
    <row r="15" spans="1:9" x14ac:dyDescent="0.3">
      <c r="A15" s="4" t="s">
        <v>4</v>
      </c>
      <c r="B15" s="3">
        <v>2013</v>
      </c>
      <c r="C15" s="4" t="s">
        <v>3</v>
      </c>
      <c r="D15" s="4" t="s">
        <v>5</v>
      </c>
      <c r="E15" s="3">
        <v>8523</v>
      </c>
      <c r="F15" s="3">
        <f>Merge2[[#This Row],[Coverage]]*100</f>
        <v>59</v>
      </c>
      <c r="G15" s="1">
        <v>0.59</v>
      </c>
      <c r="H15" s="3">
        <v>26165620</v>
      </c>
      <c r="I15" s="2">
        <v>32.573277453391128</v>
      </c>
    </row>
    <row r="16" spans="1:9" x14ac:dyDescent="0.3">
      <c r="A16" s="4" t="s">
        <v>4</v>
      </c>
      <c r="B16" s="3">
        <v>2014</v>
      </c>
      <c r="C16" s="4" t="s">
        <v>3</v>
      </c>
      <c r="D16" s="4" t="s">
        <v>5</v>
      </c>
      <c r="E16" s="3">
        <v>11699</v>
      </c>
      <c r="F16" s="3">
        <f>Merge2[[#This Row],[Coverage]]*100</f>
        <v>56.000000000000007</v>
      </c>
      <c r="G16" s="1">
        <v>0.56000000000000005</v>
      </c>
      <c r="H16" s="3">
        <v>27160769</v>
      </c>
      <c r="I16" s="2">
        <v>43.073154519299507</v>
      </c>
    </row>
    <row r="17" spans="1:9" x14ac:dyDescent="0.3">
      <c r="A17" s="4" t="s">
        <v>4</v>
      </c>
      <c r="B17" s="3">
        <v>2015</v>
      </c>
      <c r="C17" s="4" t="s">
        <v>3</v>
      </c>
      <c r="D17" s="4" t="s">
        <v>5</v>
      </c>
      <c r="E17" s="3">
        <v>119</v>
      </c>
      <c r="F17" s="3">
        <f>Merge2[[#This Row],[Coverage]]*100</f>
        <v>52</v>
      </c>
      <c r="G17" s="1">
        <v>0.52</v>
      </c>
      <c r="H17" s="3">
        <v>28157798</v>
      </c>
      <c r="I17" s="2">
        <v>0.42261827434091265</v>
      </c>
    </row>
    <row r="18" spans="1:9" x14ac:dyDescent="0.3">
      <c r="A18" s="4" t="s">
        <v>4</v>
      </c>
      <c r="B18" s="3">
        <v>2016</v>
      </c>
      <c r="C18" s="4" t="s">
        <v>3</v>
      </c>
      <c r="D18" s="4" t="s">
        <v>5</v>
      </c>
      <c r="E18" s="3">
        <v>53</v>
      </c>
      <c r="F18" s="3">
        <f>Merge2[[#This Row],[Coverage]]*100</f>
        <v>49</v>
      </c>
      <c r="G18" s="1">
        <v>0.49</v>
      </c>
      <c r="H18" s="3">
        <v>29183070</v>
      </c>
      <c r="I18" s="2">
        <v>0.18161214704278886</v>
      </c>
    </row>
    <row r="19" spans="1:9" x14ac:dyDescent="0.3">
      <c r="A19" s="4" t="s">
        <v>4</v>
      </c>
      <c r="B19" s="3">
        <v>2017</v>
      </c>
      <c r="C19" s="4" t="s">
        <v>3</v>
      </c>
      <c r="D19" s="4" t="s">
        <v>5</v>
      </c>
      <c r="E19" s="3">
        <v>29</v>
      </c>
      <c r="F19" s="3">
        <f>Merge2[[#This Row],[Coverage]]*100</f>
        <v>47</v>
      </c>
      <c r="G19" s="1">
        <v>0.47</v>
      </c>
      <c r="H19" s="3">
        <v>30234839</v>
      </c>
      <c r="I19" s="2">
        <v>9.5915840663150218E-2</v>
      </c>
    </row>
    <row r="20" spans="1:9" x14ac:dyDescent="0.3">
      <c r="A20" s="4" t="s">
        <v>4</v>
      </c>
      <c r="B20" s="3">
        <v>2018</v>
      </c>
      <c r="C20" s="4" t="s">
        <v>3</v>
      </c>
      <c r="D20" s="4" t="s">
        <v>5</v>
      </c>
      <c r="E20" s="3">
        <v>57</v>
      </c>
      <c r="F20" s="3">
        <f>Merge2[[#This Row],[Coverage]]*100</f>
        <v>56.000000000000007</v>
      </c>
      <c r="G20" s="1">
        <v>0.56000000000000005</v>
      </c>
      <c r="H20" s="3">
        <v>31297155</v>
      </c>
      <c r="I20" s="2">
        <v>0.18212518038780201</v>
      </c>
    </row>
    <row r="21" spans="1:9" x14ac:dyDescent="0.3">
      <c r="A21" s="4" t="s">
        <v>4</v>
      </c>
      <c r="B21" s="3">
        <v>2019</v>
      </c>
      <c r="C21" s="4" t="s">
        <v>3</v>
      </c>
      <c r="D21" s="4" t="s">
        <v>5</v>
      </c>
      <c r="E21" s="3">
        <v>2987</v>
      </c>
      <c r="F21" s="3">
        <f>Merge2[[#This Row],[Coverage]]*100</f>
        <v>59</v>
      </c>
      <c r="G21" s="1">
        <v>0.59</v>
      </c>
      <c r="H21" s="3">
        <v>32375632</v>
      </c>
      <c r="I21" s="2">
        <v>9.2260747218772448</v>
      </c>
    </row>
    <row r="22" spans="1:9" x14ac:dyDescent="0.3">
      <c r="A22" s="4" t="s">
        <v>4</v>
      </c>
      <c r="B22" s="3">
        <v>2020</v>
      </c>
      <c r="C22" s="4" t="s">
        <v>3</v>
      </c>
      <c r="D22" s="4" t="s">
        <v>5</v>
      </c>
      <c r="E22" s="3">
        <v>1085</v>
      </c>
      <c r="F22" s="3">
        <f>Merge2[[#This Row],[Coverage]]*100</f>
        <v>54</v>
      </c>
      <c r="G22" s="1">
        <v>0.54</v>
      </c>
      <c r="H22" s="3">
        <v>33451132</v>
      </c>
      <c r="I22" s="2">
        <v>3.2435374683284262</v>
      </c>
    </row>
    <row r="23" spans="1:9" x14ac:dyDescent="0.3">
      <c r="A23" s="4" t="s">
        <v>4</v>
      </c>
      <c r="B23" s="3">
        <v>2021</v>
      </c>
      <c r="C23" s="4" t="s">
        <v>3</v>
      </c>
      <c r="D23" s="4" t="s">
        <v>5</v>
      </c>
      <c r="E23" s="3">
        <v>300</v>
      </c>
      <c r="F23" s="3">
        <f>Merge2[[#This Row],[Coverage]]*100</f>
        <v>48</v>
      </c>
      <c r="G23" s="1">
        <v>0.48</v>
      </c>
      <c r="H23" s="3">
        <v>34532429</v>
      </c>
      <c r="I23" s="2">
        <v>0.86874861887068533</v>
      </c>
    </row>
    <row r="24" spans="1:9" x14ac:dyDescent="0.3">
      <c r="A24" s="4" t="s">
        <v>4</v>
      </c>
      <c r="B24" s="3">
        <v>2022</v>
      </c>
      <c r="C24" s="4" t="s">
        <v>3</v>
      </c>
      <c r="D24" s="4" t="s">
        <v>5</v>
      </c>
      <c r="E24" s="3">
        <v>3271</v>
      </c>
      <c r="F24" s="3">
        <f>Merge2[[#This Row],[Coverage]]*100</f>
        <v>50</v>
      </c>
      <c r="G24" s="1">
        <v>0.5</v>
      </c>
      <c r="H24" s="3">
        <v>35635029</v>
      </c>
      <c r="I24" s="2">
        <v>9.1791703045899027</v>
      </c>
    </row>
    <row r="25" spans="1:9" x14ac:dyDescent="0.3">
      <c r="A25" s="4" t="s">
        <v>4</v>
      </c>
      <c r="B25" s="3">
        <v>2023</v>
      </c>
      <c r="C25" s="4" t="s">
        <v>3</v>
      </c>
      <c r="D25" s="4" t="s">
        <v>5</v>
      </c>
      <c r="E25" s="3">
        <v>3508</v>
      </c>
      <c r="F25" s="3">
        <f>Merge2[[#This Row],[Coverage]]*100</f>
        <v>63</v>
      </c>
      <c r="G25" s="1">
        <v>0.63</v>
      </c>
      <c r="H25" s="3">
        <v>36749906</v>
      </c>
      <c r="I25" s="2">
        <v>9.54560264725575</v>
      </c>
    </row>
    <row r="26" spans="1:9" x14ac:dyDescent="0.3">
      <c r="A26" s="4" t="s">
        <v>4</v>
      </c>
      <c r="B26" s="3">
        <v>2024</v>
      </c>
      <c r="C26" s="4" t="s">
        <v>3</v>
      </c>
      <c r="D26" s="4" t="s">
        <v>5</v>
      </c>
      <c r="E26" s="3">
        <v>619</v>
      </c>
      <c r="F26" s="3">
        <f>Merge2[[#This Row],[Coverage]]*100</f>
        <v>53</v>
      </c>
      <c r="G26" s="1">
        <v>0.53</v>
      </c>
      <c r="H26" s="3">
        <v>37885849</v>
      </c>
      <c r="I26" s="2">
        <v>1.6338554271279497</v>
      </c>
    </row>
    <row r="27" spans="1:9" x14ac:dyDescent="0.3">
      <c r="A27" s="4" t="s">
        <v>9</v>
      </c>
      <c r="B27" s="3">
        <v>2000</v>
      </c>
      <c r="C27" s="4" t="s">
        <v>8</v>
      </c>
      <c r="D27" s="4" t="s">
        <v>5</v>
      </c>
      <c r="E27" s="3">
        <v>4244</v>
      </c>
      <c r="F27" s="3">
        <f>Merge2[[#This Row],[Coverage]]*100</f>
        <v>70</v>
      </c>
      <c r="G27" s="1">
        <v>0.7</v>
      </c>
      <c r="H27" s="3">
        <v>7221619</v>
      </c>
      <c r="I27" s="2">
        <v>58.767985406042605</v>
      </c>
    </row>
    <row r="28" spans="1:9" x14ac:dyDescent="0.3">
      <c r="A28" s="4" t="s">
        <v>9</v>
      </c>
      <c r="B28" s="3">
        <v>2001</v>
      </c>
      <c r="C28" s="4" t="s">
        <v>8</v>
      </c>
      <c r="D28" s="4" t="s">
        <v>5</v>
      </c>
      <c r="E28" s="3">
        <v>5859</v>
      </c>
      <c r="F28" s="3">
        <f>Merge2[[#This Row],[Coverage]]*100</f>
        <v>68</v>
      </c>
      <c r="G28" s="1">
        <v>0.68</v>
      </c>
      <c r="H28" s="3">
        <v>7445596</v>
      </c>
      <c r="I28" s="2">
        <v>78.690812662948673</v>
      </c>
    </row>
    <row r="29" spans="1:9" x14ac:dyDescent="0.3">
      <c r="A29" s="4" t="s">
        <v>9</v>
      </c>
      <c r="B29" s="3">
        <v>2002</v>
      </c>
      <c r="C29" s="4" t="s">
        <v>8</v>
      </c>
      <c r="D29" s="4" t="s">
        <v>5</v>
      </c>
      <c r="E29" s="3">
        <v>1588</v>
      </c>
      <c r="F29" s="3">
        <f>Merge2[[#This Row],[Coverage]]*100</f>
        <v>66</v>
      </c>
      <c r="G29" s="1">
        <v>0.66</v>
      </c>
      <c r="H29" s="3">
        <v>7675426</v>
      </c>
      <c r="I29" s="2">
        <v>20.689405382841294</v>
      </c>
    </row>
    <row r="30" spans="1:9" x14ac:dyDescent="0.3">
      <c r="A30" s="4" t="s">
        <v>9</v>
      </c>
      <c r="B30" s="3">
        <v>2003</v>
      </c>
      <c r="C30" s="4" t="s">
        <v>8</v>
      </c>
      <c r="D30" s="4" t="s">
        <v>5</v>
      </c>
      <c r="E30" s="3">
        <v>217</v>
      </c>
      <c r="F30" s="3">
        <f>Merge2[[#This Row],[Coverage]]*100</f>
        <v>65</v>
      </c>
      <c r="G30" s="1">
        <v>0.65</v>
      </c>
      <c r="H30" s="3">
        <v>7913070</v>
      </c>
      <c r="I30" s="2">
        <v>2.7422985010874412</v>
      </c>
    </row>
    <row r="31" spans="1:9" x14ac:dyDescent="0.3">
      <c r="A31" s="4" t="s">
        <v>9</v>
      </c>
      <c r="B31" s="3">
        <v>2004</v>
      </c>
      <c r="C31" s="4" t="s">
        <v>8</v>
      </c>
      <c r="D31" s="4" t="s">
        <v>5</v>
      </c>
      <c r="E31" s="3">
        <v>262</v>
      </c>
      <c r="F31" s="3">
        <f>Merge2[[#This Row],[Coverage]]*100</f>
        <v>63</v>
      </c>
      <c r="G31" s="1">
        <v>0.63</v>
      </c>
      <c r="H31" s="3">
        <v>8159094</v>
      </c>
      <c r="I31" s="2">
        <v>3.2111408448045822</v>
      </c>
    </row>
    <row r="32" spans="1:9" x14ac:dyDescent="0.3">
      <c r="A32" s="4" t="s">
        <v>9</v>
      </c>
      <c r="B32" s="3">
        <v>2005</v>
      </c>
      <c r="C32" s="4" t="s">
        <v>8</v>
      </c>
      <c r="D32" s="4" t="s">
        <v>5</v>
      </c>
      <c r="E32" s="3">
        <v>210</v>
      </c>
      <c r="F32" s="3">
        <f>Merge2[[#This Row],[Coverage]]*100</f>
        <v>61</v>
      </c>
      <c r="G32" s="1">
        <v>0.61</v>
      </c>
      <c r="H32" s="3">
        <v>8426144</v>
      </c>
      <c r="I32" s="2">
        <v>2.4922431897674668</v>
      </c>
    </row>
    <row r="33" spans="1:9" x14ac:dyDescent="0.3">
      <c r="A33" s="4" t="s">
        <v>9</v>
      </c>
      <c r="B33" s="3">
        <v>2006</v>
      </c>
      <c r="C33" s="4" t="s">
        <v>8</v>
      </c>
      <c r="D33" s="4" t="s">
        <v>5</v>
      </c>
      <c r="E33" s="3">
        <v>176</v>
      </c>
      <c r="F33" s="3">
        <f>Merge2[[#This Row],[Coverage]]*100</f>
        <v>66</v>
      </c>
      <c r="G33" s="1">
        <v>0.66</v>
      </c>
      <c r="H33" s="3">
        <v>8693242</v>
      </c>
      <c r="I33" s="2">
        <v>2.0245611476132841</v>
      </c>
    </row>
    <row r="34" spans="1:9" x14ac:dyDescent="0.3">
      <c r="A34" s="4" t="s">
        <v>9</v>
      </c>
      <c r="B34" s="3">
        <v>2007</v>
      </c>
      <c r="C34" s="4" t="s">
        <v>8</v>
      </c>
      <c r="D34" s="4" t="s">
        <v>5</v>
      </c>
      <c r="E34" s="3">
        <v>341</v>
      </c>
      <c r="F34" s="3">
        <f>Merge2[[#This Row],[Coverage]]*100</f>
        <v>70</v>
      </c>
      <c r="G34" s="1">
        <v>0.7</v>
      </c>
      <c r="H34" s="3">
        <v>8953969</v>
      </c>
      <c r="I34" s="2">
        <v>3.8083669934528475</v>
      </c>
    </row>
    <row r="35" spans="1:9" x14ac:dyDescent="0.3">
      <c r="A35" s="4" t="s">
        <v>9</v>
      </c>
      <c r="B35" s="3">
        <v>2008</v>
      </c>
      <c r="C35" s="4" t="s">
        <v>8</v>
      </c>
      <c r="D35" s="4" t="s">
        <v>5</v>
      </c>
      <c r="E35" s="3">
        <v>928</v>
      </c>
      <c r="F35" s="3">
        <f>Merge2[[#This Row],[Coverage]]*100</f>
        <v>66</v>
      </c>
      <c r="G35" s="1">
        <v>0.66</v>
      </c>
      <c r="H35" s="3">
        <v>9228466</v>
      </c>
      <c r="I35" s="2">
        <v>10.055842433617896</v>
      </c>
    </row>
    <row r="36" spans="1:9" x14ac:dyDescent="0.3">
      <c r="A36" s="4" t="s">
        <v>9</v>
      </c>
      <c r="B36" s="3">
        <v>2009</v>
      </c>
      <c r="C36" s="4" t="s">
        <v>8</v>
      </c>
      <c r="D36" s="4" t="s">
        <v>5</v>
      </c>
      <c r="E36" s="3">
        <v>1461</v>
      </c>
      <c r="F36" s="3">
        <f>Merge2[[#This Row],[Coverage]]*100</f>
        <v>71</v>
      </c>
      <c r="G36" s="1">
        <v>0.71</v>
      </c>
      <c r="H36" s="3">
        <v>9509423</v>
      </c>
      <c r="I36" s="2">
        <v>15.363708187131859</v>
      </c>
    </row>
    <row r="37" spans="1:9" x14ac:dyDescent="0.3">
      <c r="A37" s="4" t="s">
        <v>9</v>
      </c>
      <c r="B37" s="3">
        <v>2010</v>
      </c>
      <c r="C37" s="4" t="s">
        <v>8</v>
      </c>
      <c r="D37" s="4" t="s">
        <v>5</v>
      </c>
      <c r="E37" s="3">
        <v>392</v>
      </c>
      <c r="F37" s="3">
        <f>Merge2[[#This Row],[Coverage]]*100</f>
        <v>68</v>
      </c>
      <c r="G37" s="1">
        <v>0.68</v>
      </c>
      <c r="H37" s="3">
        <v>9797484</v>
      </c>
      <c r="I37" s="2">
        <v>4.0010272024940274</v>
      </c>
    </row>
    <row r="38" spans="1:9" x14ac:dyDescent="0.3">
      <c r="A38" s="4" t="s">
        <v>9</v>
      </c>
      <c r="B38" s="3">
        <v>2011</v>
      </c>
      <c r="C38" s="4" t="s">
        <v>8</v>
      </c>
      <c r="D38" s="4" t="s">
        <v>5</v>
      </c>
      <c r="E38" s="3">
        <v>426</v>
      </c>
      <c r="F38" s="3">
        <f>Merge2[[#This Row],[Coverage]]*100</f>
        <v>70</v>
      </c>
      <c r="G38" s="1">
        <v>0.7</v>
      </c>
      <c r="H38" s="3">
        <v>10093623</v>
      </c>
      <c r="I38" s="2">
        <v>4.2204865388770711</v>
      </c>
    </row>
    <row r="39" spans="1:9" x14ac:dyDescent="0.3">
      <c r="A39" s="4" t="s">
        <v>9</v>
      </c>
      <c r="B39" s="3">
        <v>2012</v>
      </c>
      <c r="C39" s="4" t="s">
        <v>8</v>
      </c>
      <c r="D39" s="4" t="s">
        <v>5</v>
      </c>
      <c r="E39" s="3">
        <v>288</v>
      </c>
      <c r="F39" s="3">
        <f>Merge2[[#This Row],[Coverage]]*100</f>
        <v>74</v>
      </c>
      <c r="G39" s="1">
        <v>0.74</v>
      </c>
      <c r="H39" s="3">
        <v>10397657</v>
      </c>
      <c r="I39" s="2">
        <v>2.7698547855540916</v>
      </c>
    </row>
    <row r="40" spans="1:9" x14ac:dyDescent="0.3">
      <c r="A40" s="4" t="s">
        <v>9</v>
      </c>
      <c r="B40" s="3">
        <v>2013</v>
      </c>
      <c r="C40" s="4" t="s">
        <v>8</v>
      </c>
      <c r="D40" s="4" t="s">
        <v>5</v>
      </c>
      <c r="E40" s="3">
        <v>637</v>
      </c>
      <c r="F40" s="3">
        <f>Merge2[[#This Row],[Coverage]]*100</f>
        <v>68</v>
      </c>
      <c r="G40" s="1">
        <v>0.68</v>
      </c>
      <c r="H40" s="3">
        <v>10708834</v>
      </c>
      <c r="I40" s="2">
        <v>5.9483600175331874</v>
      </c>
    </row>
    <row r="41" spans="1:9" x14ac:dyDescent="0.3">
      <c r="A41" s="4" t="s">
        <v>9</v>
      </c>
      <c r="B41" s="3">
        <v>2014</v>
      </c>
      <c r="C41" s="4" t="s">
        <v>8</v>
      </c>
      <c r="D41" s="4" t="s">
        <v>5</v>
      </c>
      <c r="E41" s="3">
        <v>786</v>
      </c>
      <c r="F41" s="3">
        <f>Merge2[[#This Row],[Coverage]]*100</f>
        <v>65</v>
      </c>
      <c r="G41" s="1">
        <v>0.65</v>
      </c>
      <c r="H41" s="3">
        <v>11030004</v>
      </c>
      <c r="I41" s="2">
        <v>7.1260173613717637</v>
      </c>
    </row>
    <row r="42" spans="1:9" x14ac:dyDescent="0.3">
      <c r="A42" s="4" t="s">
        <v>9</v>
      </c>
      <c r="B42" s="3">
        <v>2015</v>
      </c>
      <c r="C42" s="4" t="s">
        <v>8</v>
      </c>
      <c r="D42" s="4" t="s">
        <v>5</v>
      </c>
      <c r="E42" s="3">
        <v>55</v>
      </c>
      <c r="F42" s="3">
        <f>Merge2[[#This Row],[Coverage]]*100</f>
        <v>67</v>
      </c>
      <c r="G42" s="1">
        <v>0.67</v>
      </c>
      <c r="H42" s="3">
        <v>11360681</v>
      </c>
      <c r="I42" s="2">
        <v>0.48412590759303947</v>
      </c>
    </row>
    <row r="43" spans="1:9" x14ac:dyDescent="0.3">
      <c r="A43" s="4" t="s">
        <v>9</v>
      </c>
      <c r="B43" s="3">
        <v>2016</v>
      </c>
      <c r="C43" s="4" t="s">
        <v>8</v>
      </c>
      <c r="D43" s="4" t="s">
        <v>5</v>
      </c>
      <c r="E43" s="3">
        <v>89</v>
      </c>
      <c r="F43" s="3">
        <f>Merge2[[#This Row],[Coverage]]*100</f>
        <v>68</v>
      </c>
      <c r="G43" s="1">
        <v>0.68</v>
      </c>
      <c r="H43" s="3">
        <v>11697842</v>
      </c>
      <c r="I43" s="2">
        <v>0.76082409046044563</v>
      </c>
    </row>
    <row r="44" spans="1:9" x14ac:dyDescent="0.3">
      <c r="A44" s="4" t="s">
        <v>9</v>
      </c>
      <c r="B44" s="3">
        <v>2017</v>
      </c>
      <c r="C44" s="4" t="s">
        <v>8</v>
      </c>
      <c r="D44" s="4" t="s">
        <v>5</v>
      </c>
      <c r="E44" s="3">
        <v>97</v>
      </c>
      <c r="F44" s="3">
        <f>Merge2[[#This Row],[Coverage]]*100</f>
        <v>65</v>
      </c>
      <c r="G44" s="1">
        <v>0.65</v>
      </c>
      <c r="H44" s="3">
        <v>12039780</v>
      </c>
      <c r="I44" s="2">
        <v>0.80566256194050057</v>
      </c>
    </row>
    <row r="45" spans="1:9" x14ac:dyDescent="0.3">
      <c r="A45" s="4" t="s">
        <v>9</v>
      </c>
      <c r="B45" s="3">
        <v>2018</v>
      </c>
      <c r="C45" s="4" t="s">
        <v>8</v>
      </c>
      <c r="D45" s="4" t="s">
        <v>5</v>
      </c>
      <c r="E45" s="3">
        <v>493</v>
      </c>
      <c r="F45" s="3">
        <f>Merge2[[#This Row],[Coverage]]*100</f>
        <v>61</v>
      </c>
      <c r="G45" s="1">
        <v>0.61</v>
      </c>
      <c r="H45" s="3">
        <v>12383347</v>
      </c>
      <c r="I45" s="2">
        <v>3.9811530759818003</v>
      </c>
    </row>
    <row r="46" spans="1:9" x14ac:dyDescent="0.3">
      <c r="A46" s="4" t="s">
        <v>9</v>
      </c>
      <c r="B46" s="3">
        <v>2019</v>
      </c>
      <c r="C46" s="4" t="s">
        <v>8</v>
      </c>
      <c r="D46" s="4" t="s">
        <v>5</v>
      </c>
      <c r="E46" s="3">
        <v>437</v>
      </c>
      <c r="F46" s="3">
        <f>Merge2[[#This Row],[Coverage]]*100</f>
        <v>57.999999999999993</v>
      </c>
      <c r="G46" s="1">
        <v>0.57999999999999996</v>
      </c>
      <c r="H46" s="3">
        <v>12726755</v>
      </c>
      <c r="I46" s="2">
        <v>3.433711107033961</v>
      </c>
    </row>
    <row r="47" spans="1:9" x14ac:dyDescent="0.3">
      <c r="A47" s="4" t="s">
        <v>9</v>
      </c>
      <c r="B47" s="3">
        <v>2020</v>
      </c>
      <c r="C47" s="4" t="s">
        <v>8</v>
      </c>
      <c r="D47" s="4" t="s">
        <v>5</v>
      </c>
      <c r="E47" s="3">
        <v>18</v>
      </c>
      <c r="F47" s="3">
        <f>Merge2[[#This Row],[Coverage]]*100</f>
        <v>54</v>
      </c>
      <c r="G47" s="1">
        <v>0.54</v>
      </c>
      <c r="H47" s="3">
        <v>13070169</v>
      </c>
      <c r="I47" s="2">
        <v>0.13771818864775201</v>
      </c>
    </row>
    <row r="48" spans="1:9" x14ac:dyDescent="0.3">
      <c r="A48" s="4" t="s">
        <v>9</v>
      </c>
      <c r="B48" s="3">
        <v>2021</v>
      </c>
      <c r="C48" s="4" t="s">
        <v>8</v>
      </c>
      <c r="D48" s="4" t="s">
        <v>5</v>
      </c>
      <c r="E48" s="3">
        <v>35</v>
      </c>
      <c r="F48" s="3">
        <f>Merge2[[#This Row],[Coverage]]*100</f>
        <v>53</v>
      </c>
      <c r="G48" s="1">
        <v>0.53</v>
      </c>
      <c r="H48" s="3">
        <v>13413417</v>
      </c>
      <c r="I48" s="2">
        <v>0.26093276605058946</v>
      </c>
    </row>
    <row r="49" spans="1:9" x14ac:dyDescent="0.3">
      <c r="A49" s="4" t="s">
        <v>9</v>
      </c>
      <c r="B49" s="3">
        <v>2022</v>
      </c>
      <c r="C49" s="4" t="s">
        <v>8</v>
      </c>
      <c r="D49" s="4" t="s">
        <v>5</v>
      </c>
      <c r="E49" s="3">
        <v>455</v>
      </c>
      <c r="F49" s="3">
        <f>Merge2[[#This Row],[Coverage]]*100</f>
        <v>52</v>
      </c>
      <c r="G49" s="1">
        <v>0.52</v>
      </c>
      <c r="H49" s="3">
        <v>13759501</v>
      </c>
      <c r="I49" s="2">
        <v>3.3068059662919462</v>
      </c>
    </row>
    <row r="50" spans="1:9" x14ac:dyDescent="0.3">
      <c r="A50" s="4" t="s">
        <v>9</v>
      </c>
      <c r="B50" s="3">
        <v>2023</v>
      </c>
      <c r="C50" s="4" t="s">
        <v>8</v>
      </c>
      <c r="D50" s="4" t="s">
        <v>5</v>
      </c>
      <c r="E50" s="3">
        <v>478</v>
      </c>
      <c r="F50" s="3">
        <f>Merge2[[#This Row],[Coverage]]*100</f>
        <v>52</v>
      </c>
      <c r="G50" s="1">
        <v>0.52</v>
      </c>
      <c r="H50" s="3">
        <v>14111034</v>
      </c>
      <c r="I50" s="2">
        <v>3.3874200855869243</v>
      </c>
    </row>
    <row r="51" spans="1:9" x14ac:dyDescent="0.3">
      <c r="A51" s="4" t="s">
        <v>9</v>
      </c>
      <c r="B51" s="3">
        <v>2024</v>
      </c>
      <c r="C51" s="4" t="s">
        <v>8</v>
      </c>
      <c r="D51" s="4" t="s">
        <v>5</v>
      </c>
      <c r="E51" s="3">
        <v>785</v>
      </c>
      <c r="F51" s="3">
        <f>Merge2[[#This Row],[Coverage]]*100</f>
        <v>44</v>
      </c>
      <c r="G51" s="1">
        <v>0.44</v>
      </c>
      <c r="H51" s="3">
        <v>14462724</v>
      </c>
      <c r="I51" s="2">
        <v>5.427746529630241</v>
      </c>
    </row>
    <row r="52" spans="1:9" x14ac:dyDescent="0.3">
      <c r="A52" s="4" t="s">
        <v>13</v>
      </c>
      <c r="B52" s="3">
        <v>2000</v>
      </c>
      <c r="C52" s="4" t="s">
        <v>12</v>
      </c>
      <c r="D52" s="4" t="s">
        <v>5</v>
      </c>
      <c r="E52" s="3">
        <v>2672</v>
      </c>
      <c r="F52" s="3">
        <f>Merge2[[#This Row],[Coverage]]*100</f>
        <v>91</v>
      </c>
      <c r="G52" s="1">
        <v>0.91</v>
      </c>
      <c r="H52" s="3">
        <v>1677382</v>
      </c>
      <c r="I52" s="2">
        <v>159.29585508846523</v>
      </c>
    </row>
    <row r="53" spans="1:9" x14ac:dyDescent="0.3">
      <c r="A53" s="4" t="s">
        <v>13</v>
      </c>
      <c r="B53" s="3">
        <v>2001</v>
      </c>
      <c r="C53" s="4" t="s">
        <v>12</v>
      </c>
      <c r="D53" s="4" t="s">
        <v>5</v>
      </c>
      <c r="E53" s="3">
        <v>1</v>
      </c>
      <c r="F53" s="3">
        <f>Merge2[[#This Row],[Coverage]]*100</f>
        <v>91</v>
      </c>
      <c r="G53" s="1">
        <v>0.91</v>
      </c>
      <c r="H53" s="3">
        <v>1712254</v>
      </c>
      <c r="I53" s="2">
        <v>5.840255008894709E-2</v>
      </c>
    </row>
    <row r="54" spans="1:9" x14ac:dyDescent="0.3">
      <c r="A54" s="4" t="s">
        <v>13</v>
      </c>
      <c r="B54" s="3">
        <v>2002</v>
      </c>
      <c r="C54" s="4" t="s">
        <v>12</v>
      </c>
      <c r="D54" s="4" t="s">
        <v>5</v>
      </c>
      <c r="E54" s="3">
        <v>7</v>
      </c>
      <c r="F54" s="3">
        <f>Merge2[[#This Row],[Coverage]]*100</f>
        <v>92</v>
      </c>
      <c r="G54" s="1">
        <v>0.92</v>
      </c>
      <c r="H54" s="3">
        <v>1744763</v>
      </c>
      <c r="I54" s="2">
        <v>0.40120062151707714</v>
      </c>
    </row>
    <row r="55" spans="1:9" x14ac:dyDescent="0.3">
      <c r="A55" s="4" t="s">
        <v>13</v>
      </c>
      <c r="B55" s="3">
        <v>2003</v>
      </c>
      <c r="C55" s="4" t="s">
        <v>12</v>
      </c>
      <c r="D55" s="4" t="s">
        <v>5</v>
      </c>
      <c r="E55" s="3">
        <v>59</v>
      </c>
      <c r="F55" s="3">
        <f>Merge2[[#This Row],[Coverage]]*100</f>
        <v>92</v>
      </c>
      <c r="G55" s="1">
        <v>0.92</v>
      </c>
      <c r="H55" s="3">
        <v>1775736</v>
      </c>
      <c r="I55" s="2">
        <v>3.3225659670131145</v>
      </c>
    </row>
    <row r="56" spans="1:9" x14ac:dyDescent="0.3">
      <c r="A56" s="4" t="s">
        <v>13</v>
      </c>
      <c r="B56" s="3">
        <v>2004</v>
      </c>
      <c r="C56" s="4" t="s">
        <v>12</v>
      </c>
      <c r="D56" s="4" t="s">
        <v>5</v>
      </c>
      <c r="E56" s="3">
        <v>1</v>
      </c>
      <c r="F56" s="3">
        <f>Merge2[[#This Row],[Coverage]]*100</f>
        <v>93</v>
      </c>
      <c r="G56" s="1">
        <v>0.93</v>
      </c>
      <c r="H56" s="3">
        <v>1807146</v>
      </c>
      <c r="I56" s="2">
        <v>5.5335872143147259E-2</v>
      </c>
    </row>
    <row r="57" spans="1:9" x14ac:dyDescent="0.3">
      <c r="A57" s="4" t="s">
        <v>13</v>
      </c>
      <c r="B57" s="3">
        <v>2005</v>
      </c>
      <c r="C57" s="4" t="s">
        <v>12</v>
      </c>
      <c r="D57" s="4" t="s">
        <v>5</v>
      </c>
      <c r="E57" s="3">
        <v>5</v>
      </c>
      <c r="F57" s="3">
        <f>Merge2[[#This Row],[Coverage]]*100</f>
        <v>93</v>
      </c>
      <c r="G57" s="1">
        <v>0.93</v>
      </c>
      <c r="H57" s="3">
        <v>1839877</v>
      </c>
      <c r="I57" s="2">
        <v>0.27175729681929822</v>
      </c>
    </row>
    <row r="58" spans="1:9" x14ac:dyDescent="0.3">
      <c r="A58" s="4" t="s">
        <v>13</v>
      </c>
      <c r="B58" s="3">
        <v>2006</v>
      </c>
      <c r="C58" s="4" t="s">
        <v>12</v>
      </c>
      <c r="D58" s="4" t="s">
        <v>5</v>
      </c>
      <c r="E58" s="3">
        <v>6</v>
      </c>
      <c r="F58" s="3">
        <f>Merge2[[#This Row],[Coverage]]*100</f>
        <v>94</v>
      </c>
      <c r="G58" s="1">
        <v>0.94</v>
      </c>
      <c r="H58" s="3">
        <v>1874516</v>
      </c>
      <c r="I58" s="2">
        <v>0.32008262399467385</v>
      </c>
    </row>
    <row r="59" spans="1:9" x14ac:dyDescent="0.3">
      <c r="A59" s="4" t="s">
        <v>13</v>
      </c>
      <c r="B59" s="3">
        <v>2007</v>
      </c>
      <c r="C59" s="4" t="s">
        <v>12</v>
      </c>
      <c r="D59" s="4" t="s">
        <v>5</v>
      </c>
      <c r="E59" s="3">
        <v>1</v>
      </c>
      <c r="F59" s="3">
        <f>Merge2[[#This Row],[Coverage]]*100</f>
        <v>95</v>
      </c>
      <c r="G59" s="1">
        <v>0.95</v>
      </c>
      <c r="H59" s="3">
        <v>1911201</v>
      </c>
      <c r="I59" s="2">
        <v>5.232312038346569E-2</v>
      </c>
    </row>
    <row r="60" spans="1:9" x14ac:dyDescent="0.3">
      <c r="A60" s="4" t="s">
        <v>13</v>
      </c>
      <c r="B60" s="3">
        <v>2008</v>
      </c>
      <c r="C60" s="4" t="s">
        <v>12</v>
      </c>
      <c r="D60" s="4" t="s">
        <v>5</v>
      </c>
      <c r="E60" s="3">
        <v>0</v>
      </c>
      <c r="F60" s="3">
        <f>Merge2[[#This Row],[Coverage]]*100</f>
        <v>95</v>
      </c>
      <c r="G60" s="1">
        <v>0.95</v>
      </c>
      <c r="H60" s="3">
        <v>1949970</v>
      </c>
      <c r="I60" s="2">
        <v>0</v>
      </c>
    </row>
    <row r="61" spans="1:9" x14ac:dyDescent="0.3">
      <c r="A61" s="4" t="s">
        <v>13</v>
      </c>
      <c r="B61" s="3">
        <v>2009</v>
      </c>
      <c r="C61" s="4" t="s">
        <v>12</v>
      </c>
      <c r="D61" s="4" t="s">
        <v>5</v>
      </c>
      <c r="E61" s="3">
        <v>184</v>
      </c>
      <c r="F61" s="3">
        <f>Merge2[[#This Row],[Coverage]]*100</f>
        <v>96</v>
      </c>
      <c r="G61" s="1">
        <v>0.96</v>
      </c>
      <c r="H61" s="3">
        <v>1990673</v>
      </c>
      <c r="I61" s="2">
        <v>9.2431052211990608</v>
      </c>
    </row>
    <row r="62" spans="1:9" x14ac:dyDescent="0.3">
      <c r="A62" s="4" t="s">
        <v>13</v>
      </c>
      <c r="B62" s="3">
        <v>2010</v>
      </c>
      <c r="C62" s="4" t="s">
        <v>12</v>
      </c>
      <c r="D62" s="4" t="s">
        <v>5</v>
      </c>
      <c r="E62" s="3">
        <v>853</v>
      </c>
      <c r="F62" s="3">
        <f>Merge2[[#This Row],[Coverage]]*100</f>
        <v>96</v>
      </c>
      <c r="G62" s="1">
        <v>0.96</v>
      </c>
      <c r="H62" s="3">
        <v>2033111</v>
      </c>
      <c r="I62" s="2">
        <v>41.955407255186756</v>
      </c>
    </row>
    <row r="63" spans="1:9" x14ac:dyDescent="0.3">
      <c r="A63" s="4" t="s">
        <v>13</v>
      </c>
      <c r="B63" s="3">
        <v>2011</v>
      </c>
      <c r="C63" s="4" t="s">
        <v>12</v>
      </c>
      <c r="D63" s="4" t="s">
        <v>5</v>
      </c>
      <c r="E63" s="3">
        <v>8</v>
      </c>
      <c r="F63" s="3">
        <f>Merge2[[#This Row],[Coverage]]*100</f>
        <v>97</v>
      </c>
      <c r="G63" s="1">
        <v>0.97</v>
      </c>
      <c r="H63" s="3">
        <v>2073535</v>
      </c>
      <c r="I63" s="2">
        <v>0.38581456305295064</v>
      </c>
    </row>
    <row r="64" spans="1:9" x14ac:dyDescent="0.3">
      <c r="A64" s="4" t="s">
        <v>13</v>
      </c>
      <c r="B64" s="3">
        <v>2012</v>
      </c>
      <c r="C64" s="4" t="s">
        <v>12</v>
      </c>
      <c r="D64" s="4" t="s">
        <v>5</v>
      </c>
      <c r="E64" s="3">
        <v>7</v>
      </c>
      <c r="F64" s="3">
        <f>Merge2[[#This Row],[Coverage]]*100</f>
        <v>97</v>
      </c>
      <c r="G64" s="1">
        <v>0.97</v>
      </c>
      <c r="H64" s="3">
        <v>2108617</v>
      </c>
      <c r="I64" s="2">
        <v>0.33197114506807068</v>
      </c>
    </row>
    <row r="65" spans="1:9" x14ac:dyDescent="0.3">
      <c r="A65" s="4" t="s">
        <v>13</v>
      </c>
      <c r="B65" s="3">
        <v>2013</v>
      </c>
      <c r="C65" s="4" t="s">
        <v>12</v>
      </c>
      <c r="D65" s="4" t="s">
        <v>5</v>
      </c>
      <c r="E65" s="3">
        <v>1</v>
      </c>
      <c r="F65" s="3">
        <f>Merge2[[#This Row],[Coverage]]*100</f>
        <v>97</v>
      </c>
      <c r="G65" s="1">
        <v>0.97</v>
      </c>
      <c r="H65" s="3">
        <v>2140682</v>
      </c>
      <c r="I65" s="2">
        <v>4.6714084576784408E-2</v>
      </c>
    </row>
    <row r="66" spans="1:9" x14ac:dyDescent="0.3">
      <c r="A66" s="4" t="s">
        <v>13</v>
      </c>
      <c r="B66" s="3">
        <v>2014</v>
      </c>
      <c r="C66" s="4" t="s">
        <v>12</v>
      </c>
      <c r="D66" s="4" t="s">
        <v>5</v>
      </c>
      <c r="E66" s="3">
        <v>1</v>
      </c>
      <c r="F66" s="3">
        <f>Merge2[[#This Row],[Coverage]]*100</f>
        <v>97</v>
      </c>
      <c r="G66" s="1">
        <v>0.97</v>
      </c>
      <c r="H66" s="3">
        <v>2172044</v>
      </c>
      <c r="I66" s="2">
        <v>4.6039582991873093E-2</v>
      </c>
    </row>
    <row r="67" spans="1:9" x14ac:dyDescent="0.3">
      <c r="A67" s="4" t="s">
        <v>13</v>
      </c>
      <c r="B67" s="3">
        <v>2015</v>
      </c>
      <c r="C67" s="4" t="s">
        <v>12</v>
      </c>
      <c r="D67" s="4" t="s">
        <v>5</v>
      </c>
      <c r="E67" s="3">
        <v>0</v>
      </c>
      <c r="F67" s="3">
        <f>Merge2[[#This Row],[Coverage]]*100</f>
        <v>97</v>
      </c>
      <c r="G67" s="1">
        <v>0.97</v>
      </c>
      <c r="H67" s="3">
        <v>2203273</v>
      </c>
      <c r="I67" s="2">
        <v>0</v>
      </c>
    </row>
    <row r="68" spans="1:9" x14ac:dyDescent="0.3">
      <c r="A68" s="4" t="s">
        <v>13</v>
      </c>
      <c r="B68" s="3">
        <v>2016</v>
      </c>
      <c r="C68" s="4" t="s">
        <v>12</v>
      </c>
      <c r="D68" s="4" t="s">
        <v>5</v>
      </c>
      <c r="E68" s="3">
        <v>1</v>
      </c>
      <c r="F68" s="3">
        <f>Merge2[[#This Row],[Coverage]]*100</f>
        <v>97</v>
      </c>
      <c r="G68" s="1">
        <v>0.97</v>
      </c>
      <c r="H68" s="3">
        <v>2234776</v>
      </c>
      <c r="I68" s="2">
        <v>4.474721403845397E-2</v>
      </c>
    </row>
    <row r="69" spans="1:9" x14ac:dyDescent="0.3">
      <c r="A69" s="4" t="s">
        <v>13</v>
      </c>
      <c r="B69" s="3">
        <v>2017</v>
      </c>
      <c r="C69" s="4" t="s">
        <v>12</v>
      </c>
      <c r="D69" s="4" t="s">
        <v>5</v>
      </c>
      <c r="E69" s="3">
        <v>0</v>
      </c>
      <c r="F69" s="3">
        <f>Merge2[[#This Row],[Coverage]]*100</f>
        <v>97</v>
      </c>
      <c r="G69" s="1">
        <v>0.97</v>
      </c>
      <c r="H69" s="3">
        <v>2266747</v>
      </c>
      <c r="I69" s="2">
        <v>0</v>
      </c>
    </row>
    <row r="70" spans="1:9" x14ac:dyDescent="0.3">
      <c r="A70" s="4" t="s">
        <v>13</v>
      </c>
      <c r="B70" s="3">
        <v>2018</v>
      </c>
      <c r="C70" s="4" t="s">
        <v>12</v>
      </c>
      <c r="D70" s="4" t="s">
        <v>5</v>
      </c>
      <c r="E70" s="3">
        <v>0</v>
      </c>
      <c r="F70" s="3">
        <f>Merge2[[#This Row],[Coverage]]*100</f>
        <v>97</v>
      </c>
      <c r="G70" s="1">
        <v>0.97</v>
      </c>
      <c r="H70" s="3">
        <v>2299141</v>
      </c>
      <c r="I70" s="2">
        <v>0</v>
      </c>
    </row>
    <row r="71" spans="1:9" x14ac:dyDescent="0.3">
      <c r="A71" s="4" t="s">
        <v>13</v>
      </c>
      <c r="B71" s="3">
        <v>2019</v>
      </c>
      <c r="C71" s="4" t="s">
        <v>12</v>
      </c>
      <c r="D71" s="4" t="s">
        <v>5</v>
      </c>
      <c r="E71" s="3">
        <v>0</v>
      </c>
      <c r="F71" s="3">
        <f>Merge2[[#This Row],[Coverage]]*100</f>
        <v>97</v>
      </c>
      <c r="G71" s="1">
        <v>0.97</v>
      </c>
      <c r="H71" s="3">
        <v>2332083</v>
      </c>
      <c r="I71" s="2">
        <v>0</v>
      </c>
    </row>
    <row r="72" spans="1:9" x14ac:dyDescent="0.3">
      <c r="A72" s="4" t="s">
        <v>13</v>
      </c>
      <c r="B72" s="3">
        <v>2020</v>
      </c>
      <c r="C72" s="4" t="s">
        <v>12</v>
      </c>
      <c r="D72" s="4" t="s">
        <v>5</v>
      </c>
      <c r="E72" s="3">
        <v>5</v>
      </c>
      <c r="F72" s="3">
        <f>Merge2[[#This Row],[Coverage]]*100</f>
        <v>87</v>
      </c>
      <c r="G72" s="1">
        <v>0.87</v>
      </c>
      <c r="H72" s="3">
        <v>2365894</v>
      </c>
      <c r="I72" s="2">
        <v>0.21133660256968403</v>
      </c>
    </row>
    <row r="73" spans="1:9" x14ac:dyDescent="0.3">
      <c r="A73" s="4" t="s">
        <v>13</v>
      </c>
      <c r="B73" s="3">
        <v>2021</v>
      </c>
      <c r="C73" s="4" t="s">
        <v>12</v>
      </c>
      <c r="D73" s="4" t="s">
        <v>5</v>
      </c>
      <c r="E73" s="3">
        <v>0</v>
      </c>
      <c r="F73" s="3">
        <f>Merge2[[#This Row],[Coverage]]*100</f>
        <v>97</v>
      </c>
      <c r="G73" s="1">
        <v>0.97</v>
      </c>
      <c r="H73" s="3">
        <v>2401441</v>
      </c>
      <c r="I73" s="2">
        <v>0</v>
      </c>
    </row>
    <row r="74" spans="1:9" x14ac:dyDescent="0.3">
      <c r="A74" s="4" t="s">
        <v>13</v>
      </c>
      <c r="B74" s="3">
        <v>2022</v>
      </c>
      <c r="C74" s="4" t="s">
        <v>12</v>
      </c>
      <c r="D74" s="4" t="s">
        <v>5</v>
      </c>
      <c r="E74" s="3">
        <v>1</v>
      </c>
      <c r="F74" s="3">
        <f>Merge2[[#This Row],[Coverage]]*100</f>
        <v>90</v>
      </c>
      <c r="G74" s="1">
        <v>0.9</v>
      </c>
      <c r="H74" s="3">
        <v>2439892</v>
      </c>
      <c r="I74" s="2">
        <v>4.0985420666160628E-2</v>
      </c>
    </row>
    <row r="75" spans="1:9" x14ac:dyDescent="0.3">
      <c r="A75" s="4" t="s">
        <v>13</v>
      </c>
      <c r="B75" s="3">
        <v>2023</v>
      </c>
      <c r="C75" s="4" t="s">
        <v>12</v>
      </c>
      <c r="D75" s="4" t="s">
        <v>5</v>
      </c>
      <c r="E75" s="3">
        <v>63</v>
      </c>
      <c r="F75" s="3">
        <f>Merge2[[#This Row],[Coverage]]*100</f>
        <v>97</v>
      </c>
      <c r="G75" s="1">
        <v>0.97</v>
      </c>
      <c r="H75" s="3">
        <v>2480244</v>
      </c>
      <c r="I75" s="2">
        <v>2.540072670269538</v>
      </c>
    </row>
    <row r="76" spans="1:9" x14ac:dyDescent="0.3">
      <c r="A76" s="4" t="s">
        <v>13</v>
      </c>
      <c r="B76" s="3">
        <v>2024</v>
      </c>
      <c r="C76" s="4" t="s">
        <v>12</v>
      </c>
      <c r="D76" s="4" t="s">
        <v>5</v>
      </c>
      <c r="E76" s="3">
        <v>3</v>
      </c>
      <c r="F76" s="3">
        <f>Merge2[[#This Row],[Coverage]]*100</f>
        <v>97</v>
      </c>
      <c r="G76" s="1">
        <v>0.97</v>
      </c>
      <c r="H76" s="3">
        <v>2521139</v>
      </c>
      <c r="I76" s="2">
        <v>0.11899383572266344</v>
      </c>
    </row>
    <row r="77" spans="1:9" x14ac:dyDescent="0.3">
      <c r="A77" s="4" t="s">
        <v>11</v>
      </c>
      <c r="B77" s="3">
        <v>2000</v>
      </c>
      <c r="C77" s="4" t="s">
        <v>10</v>
      </c>
      <c r="D77" s="4" t="s">
        <v>5</v>
      </c>
      <c r="E77" s="3">
        <v>6074</v>
      </c>
      <c r="F77" s="3">
        <f>Merge2[[#This Row],[Coverage]]*100</f>
        <v>48</v>
      </c>
      <c r="G77" s="1">
        <v>0.48</v>
      </c>
      <c r="H77" s="3">
        <v>11925546</v>
      </c>
      <c r="I77" s="2">
        <v>50.932678470235238</v>
      </c>
    </row>
    <row r="78" spans="1:9" x14ac:dyDescent="0.3">
      <c r="A78" s="4" t="s">
        <v>11</v>
      </c>
      <c r="B78" s="3">
        <v>2001</v>
      </c>
      <c r="C78" s="4" t="s">
        <v>10</v>
      </c>
      <c r="D78" s="4" t="s">
        <v>5</v>
      </c>
      <c r="E78" s="3">
        <v>4174</v>
      </c>
      <c r="F78" s="3">
        <f>Merge2[[#This Row],[Coverage]]*100</f>
        <v>63</v>
      </c>
      <c r="G78" s="1">
        <v>0.63</v>
      </c>
      <c r="H78" s="3">
        <v>12295001</v>
      </c>
      <c r="I78" s="2">
        <v>33.948756897213755</v>
      </c>
    </row>
    <row r="79" spans="1:9" x14ac:dyDescent="0.3">
      <c r="A79" s="4" t="s">
        <v>11</v>
      </c>
      <c r="B79" s="3">
        <v>2002</v>
      </c>
      <c r="C79" s="4" t="s">
        <v>10</v>
      </c>
      <c r="D79" s="4" t="s">
        <v>5</v>
      </c>
      <c r="E79" s="3">
        <v>1744</v>
      </c>
      <c r="F79" s="3">
        <f>Merge2[[#This Row],[Coverage]]*100</f>
        <v>64</v>
      </c>
      <c r="G79" s="1">
        <v>0.64</v>
      </c>
      <c r="H79" s="3">
        <v>12680897</v>
      </c>
      <c r="I79" s="2">
        <v>13.75297031432398</v>
      </c>
    </row>
    <row r="80" spans="1:9" x14ac:dyDescent="0.3">
      <c r="A80" s="4" t="s">
        <v>11</v>
      </c>
      <c r="B80" s="3">
        <v>2003</v>
      </c>
      <c r="C80" s="4" t="s">
        <v>10</v>
      </c>
      <c r="D80" s="4" t="s">
        <v>5</v>
      </c>
      <c r="E80" s="3">
        <v>2946</v>
      </c>
      <c r="F80" s="3">
        <f>Merge2[[#This Row],[Coverage]]*100</f>
        <v>76</v>
      </c>
      <c r="G80" s="1">
        <v>0.76</v>
      </c>
      <c r="H80" s="3">
        <v>13082532</v>
      </c>
      <c r="I80" s="2">
        <v>22.518576679193295</v>
      </c>
    </row>
    <row r="81" spans="1:9" x14ac:dyDescent="0.3">
      <c r="A81" s="4" t="s">
        <v>11</v>
      </c>
      <c r="B81" s="3">
        <v>2004</v>
      </c>
      <c r="C81" s="4" t="s">
        <v>10</v>
      </c>
      <c r="D81" s="4" t="s">
        <v>5</v>
      </c>
      <c r="E81" s="3">
        <v>77</v>
      </c>
      <c r="F81" s="3">
        <f>Merge2[[#This Row],[Coverage]]*100</f>
        <v>78</v>
      </c>
      <c r="G81" s="1">
        <v>0.78</v>
      </c>
      <c r="H81" s="3">
        <v>13500533</v>
      </c>
      <c r="I81" s="2">
        <v>0.57034785219220607</v>
      </c>
    </row>
    <row r="82" spans="1:9" x14ac:dyDescent="0.3">
      <c r="A82" s="4" t="s">
        <v>11</v>
      </c>
      <c r="B82" s="3">
        <v>2005</v>
      </c>
      <c r="C82" s="4" t="s">
        <v>10</v>
      </c>
      <c r="D82" s="4" t="s">
        <v>5</v>
      </c>
      <c r="E82" s="3">
        <v>253</v>
      </c>
      <c r="F82" s="3">
        <f>Merge2[[#This Row],[Coverage]]*100</f>
        <v>84</v>
      </c>
      <c r="G82" s="1">
        <v>0.84</v>
      </c>
      <c r="H82" s="3">
        <v>13932123</v>
      </c>
      <c r="I82" s="2">
        <v>1.8159472178073648</v>
      </c>
    </row>
    <row r="83" spans="1:9" x14ac:dyDescent="0.3">
      <c r="A83" s="4" t="s">
        <v>11</v>
      </c>
      <c r="B83" s="3">
        <v>2006</v>
      </c>
      <c r="C83" s="4" t="s">
        <v>10</v>
      </c>
      <c r="D83" s="4" t="s">
        <v>5</v>
      </c>
      <c r="E83" s="3">
        <v>125</v>
      </c>
      <c r="F83" s="3">
        <f>Merge2[[#This Row],[Coverage]]*100</f>
        <v>88</v>
      </c>
      <c r="G83" s="1">
        <v>0.88</v>
      </c>
      <c r="H83" s="3">
        <v>14373707</v>
      </c>
      <c r="I83" s="2">
        <v>0.8696434399281967</v>
      </c>
    </row>
    <row r="84" spans="1:9" x14ac:dyDescent="0.3">
      <c r="A84" s="4" t="s">
        <v>11</v>
      </c>
      <c r="B84" s="3">
        <v>2007</v>
      </c>
      <c r="C84" s="4" t="s">
        <v>10</v>
      </c>
      <c r="D84" s="4" t="s">
        <v>5</v>
      </c>
      <c r="E84" s="3">
        <v>12</v>
      </c>
      <c r="F84" s="3">
        <f>Merge2[[#This Row],[Coverage]]*100</f>
        <v>94</v>
      </c>
      <c r="G84" s="1">
        <v>0.94</v>
      </c>
      <c r="H84" s="3">
        <v>14816307</v>
      </c>
      <c r="I84" s="2">
        <v>8.0991842299164021E-2</v>
      </c>
    </row>
    <row r="85" spans="1:9" x14ac:dyDescent="0.3">
      <c r="A85" s="4" t="s">
        <v>11</v>
      </c>
      <c r="B85" s="3">
        <v>2008</v>
      </c>
      <c r="C85" s="4" t="s">
        <v>10</v>
      </c>
      <c r="D85" s="4" t="s">
        <v>5</v>
      </c>
      <c r="E85" s="3">
        <v>395</v>
      </c>
      <c r="F85" s="3">
        <f>Merge2[[#This Row],[Coverage]]*100</f>
        <v>94</v>
      </c>
      <c r="G85" s="1">
        <v>0.94</v>
      </c>
      <c r="H85" s="3">
        <v>15258093</v>
      </c>
      <c r="I85" s="2">
        <v>2.5887900932311791</v>
      </c>
    </row>
    <row r="86" spans="1:9" x14ac:dyDescent="0.3">
      <c r="A86" s="4" t="s">
        <v>11</v>
      </c>
      <c r="B86" s="3">
        <v>2009</v>
      </c>
      <c r="C86" s="4" t="s">
        <v>10</v>
      </c>
      <c r="D86" s="4" t="s">
        <v>5</v>
      </c>
      <c r="E86" s="3">
        <v>54118</v>
      </c>
      <c r="F86" s="3">
        <f>Merge2[[#This Row],[Coverage]]*100</f>
        <v>94</v>
      </c>
      <c r="G86" s="1">
        <v>0.94</v>
      </c>
      <c r="H86" s="3">
        <v>15710066</v>
      </c>
      <c r="I86" s="2">
        <v>344.47977494174756</v>
      </c>
    </row>
    <row r="87" spans="1:9" x14ac:dyDescent="0.3">
      <c r="A87" s="4" t="s">
        <v>11</v>
      </c>
      <c r="B87" s="3">
        <v>2010</v>
      </c>
      <c r="C87" s="4" t="s">
        <v>10</v>
      </c>
      <c r="D87" s="4" t="s">
        <v>5</v>
      </c>
      <c r="E87" s="3">
        <v>2511</v>
      </c>
      <c r="F87" s="3">
        <f>Merge2[[#This Row],[Coverage]]*100</f>
        <v>92</v>
      </c>
      <c r="G87" s="1">
        <v>0.92</v>
      </c>
      <c r="H87" s="3">
        <v>16176498</v>
      </c>
      <c r="I87" s="2">
        <v>15.522519150931185</v>
      </c>
    </row>
    <row r="88" spans="1:9" x14ac:dyDescent="0.3">
      <c r="A88" s="4" t="s">
        <v>11</v>
      </c>
      <c r="B88" s="3">
        <v>2011</v>
      </c>
      <c r="C88" s="4" t="s">
        <v>10</v>
      </c>
      <c r="D88" s="4" t="s">
        <v>5</v>
      </c>
      <c r="E88" s="3">
        <v>860</v>
      </c>
      <c r="F88" s="3">
        <f>Merge2[[#This Row],[Coverage]]*100</f>
        <v>89</v>
      </c>
      <c r="G88" s="1">
        <v>0.89</v>
      </c>
      <c r="H88" s="3">
        <v>16661908</v>
      </c>
      <c r="I88" s="2">
        <v>5.161473703971958</v>
      </c>
    </row>
    <row r="89" spans="1:9" x14ac:dyDescent="0.3">
      <c r="A89" s="4" t="s">
        <v>11</v>
      </c>
      <c r="B89" s="3">
        <v>2012</v>
      </c>
      <c r="C89" s="4" t="s">
        <v>10</v>
      </c>
      <c r="D89" s="4" t="s">
        <v>5</v>
      </c>
      <c r="E89" s="3">
        <v>7362</v>
      </c>
      <c r="F89" s="3">
        <f>Merge2[[#This Row],[Coverage]]*100</f>
        <v>87</v>
      </c>
      <c r="G89" s="1">
        <v>0.87</v>
      </c>
      <c r="H89" s="3">
        <v>17172287</v>
      </c>
      <c r="I89" s="2">
        <v>42.871400879801271</v>
      </c>
    </row>
    <row r="90" spans="1:9" x14ac:dyDescent="0.3">
      <c r="A90" s="4" t="s">
        <v>11</v>
      </c>
      <c r="B90" s="3">
        <v>2013</v>
      </c>
      <c r="C90" s="4" t="s">
        <v>10</v>
      </c>
      <c r="D90" s="4" t="s">
        <v>5</v>
      </c>
      <c r="E90" s="3">
        <v>375</v>
      </c>
      <c r="F90" s="3">
        <f>Merge2[[#This Row],[Coverage]]*100</f>
        <v>82</v>
      </c>
      <c r="G90" s="1">
        <v>0.82</v>
      </c>
      <c r="H90" s="3">
        <v>17695409</v>
      </c>
      <c r="I90" s="2">
        <v>2.1191937411562511</v>
      </c>
    </row>
    <row r="91" spans="1:9" x14ac:dyDescent="0.3">
      <c r="A91" s="4" t="s">
        <v>11</v>
      </c>
      <c r="B91" s="3">
        <v>2014</v>
      </c>
      <c r="C91" s="4" t="s">
        <v>10</v>
      </c>
      <c r="D91" s="4" t="s">
        <v>5</v>
      </c>
      <c r="E91" s="3">
        <v>343</v>
      </c>
      <c r="F91" s="3">
        <f>Merge2[[#This Row],[Coverage]]*100</f>
        <v>88</v>
      </c>
      <c r="G91" s="1">
        <v>0.88</v>
      </c>
      <c r="H91" s="3">
        <v>18229461</v>
      </c>
      <c r="I91" s="2">
        <v>1.8815696196393299</v>
      </c>
    </row>
    <row r="92" spans="1:9" x14ac:dyDescent="0.3">
      <c r="A92" s="4" t="s">
        <v>11</v>
      </c>
      <c r="B92" s="3">
        <v>2015</v>
      </c>
      <c r="C92" s="4" t="s">
        <v>10</v>
      </c>
      <c r="D92" s="4" t="s">
        <v>5</v>
      </c>
      <c r="E92" s="3">
        <v>99</v>
      </c>
      <c r="F92" s="3">
        <f>Merge2[[#This Row],[Coverage]]*100</f>
        <v>88</v>
      </c>
      <c r="G92" s="1">
        <v>0.88</v>
      </c>
      <c r="H92" s="3">
        <v>18777487</v>
      </c>
      <c r="I92" s="2">
        <v>0.52722709913206167</v>
      </c>
    </row>
    <row r="93" spans="1:9" x14ac:dyDescent="0.3">
      <c r="A93" s="4" t="s">
        <v>11</v>
      </c>
      <c r="B93" s="3">
        <v>2016</v>
      </c>
      <c r="C93" s="4" t="s">
        <v>10</v>
      </c>
      <c r="D93" s="4" t="s">
        <v>5</v>
      </c>
      <c r="E93" s="3">
        <v>226</v>
      </c>
      <c r="F93" s="3">
        <f>Merge2[[#This Row],[Coverage]]*100</f>
        <v>88</v>
      </c>
      <c r="G93" s="1">
        <v>0.88</v>
      </c>
      <c r="H93" s="3">
        <v>19334856</v>
      </c>
      <c r="I93" s="2">
        <v>1.1688734583800366</v>
      </c>
    </row>
    <row r="94" spans="1:9" x14ac:dyDescent="0.3">
      <c r="A94" s="4" t="s">
        <v>11</v>
      </c>
      <c r="B94" s="3">
        <v>2017</v>
      </c>
      <c r="C94" s="4" t="s">
        <v>10</v>
      </c>
      <c r="D94" s="4" t="s">
        <v>5</v>
      </c>
      <c r="E94" s="3">
        <v>49</v>
      </c>
      <c r="F94" s="3">
        <f>Merge2[[#This Row],[Coverage]]*100</f>
        <v>88</v>
      </c>
      <c r="G94" s="1">
        <v>0.88</v>
      </c>
      <c r="H94" s="3">
        <v>19894407</v>
      </c>
      <c r="I94" s="2">
        <v>0.24630037980021219</v>
      </c>
    </row>
    <row r="95" spans="1:9" x14ac:dyDescent="0.3">
      <c r="A95" s="4" t="s">
        <v>11</v>
      </c>
      <c r="B95" s="3">
        <v>2018</v>
      </c>
      <c r="C95" s="4" t="s">
        <v>10</v>
      </c>
      <c r="D95" s="4" t="s">
        <v>5</v>
      </c>
      <c r="E95" s="3">
        <v>4072</v>
      </c>
      <c r="F95" s="3">
        <f>Merge2[[#This Row],[Coverage]]*100</f>
        <v>88</v>
      </c>
      <c r="G95" s="1">
        <v>0.88</v>
      </c>
      <c r="H95" s="3">
        <v>20438288</v>
      </c>
      <c r="I95" s="2">
        <v>19.923390843694932</v>
      </c>
    </row>
    <row r="96" spans="1:9" x14ac:dyDescent="0.3">
      <c r="A96" s="4" t="s">
        <v>11</v>
      </c>
      <c r="B96" s="3">
        <v>2019</v>
      </c>
      <c r="C96" s="4" t="s">
        <v>10</v>
      </c>
      <c r="D96" s="4" t="s">
        <v>5</v>
      </c>
      <c r="E96" s="3">
        <v>672</v>
      </c>
      <c r="F96" s="3">
        <f>Merge2[[#This Row],[Coverage]]*100</f>
        <v>88</v>
      </c>
      <c r="G96" s="1">
        <v>0.88</v>
      </c>
      <c r="H96" s="3">
        <v>20961952</v>
      </c>
      <c r="I96" s="2">
        <v>3.2058083140348761</v>
      </c>
    </row>
    <row r="97" spans="1:9" x14ac:dyDescent="0.3">
      <c r="A97" s="4" t="s">
        <v>11</v>
      </c>
      <c r="B97" s="3">
        <v>2020</v>
      </c>
      <c r="C97" s="4" t="s">
        <v>10</v>
      </c>
      <c r="D97" s="4" t="s">
        <v>5</v>
      </c>
      <c r="E97" s="3">
        <v>2480</v>
      </c>
      <c r="F97" s="3">
        <f>Merge2[[#This Row],[Coverage]]*100</f>
        <v>88</v>
      </c>
      <c r="G97" s="1">
        <v>0.88</v>
      </c>
      <c r="H97" s="3">
        <v>21478690</v>
      </c>
      <c r="I97" s="2">
        <v>11.546328011624546</v>
      </c>
    </row>
    <row r="98" spans="1:9" x14ac:dyDescent="0.3">
      <c r="A98" s="4" t="s">
        <v>11</v>
      </c>
      <c r="B98" s="3">
        <v>2021</v>
      </c>
      <c r="C98" s="4" t="s">
        <v>10</v>
      </c>
      <c r="D98" s="4" t="s">
        <v>5</v>
      </c>
      <c r="E98" s="3"/>
      <c r="F98" s="3">
        <f>Merge2[[#This Row],[Coverage]]*100</f>
        <v>88</v>
      </c>
      <c r="G98" s="1">
        <v>0.88</v>
      </c>
      <c r="H98" s="3">
        <v>21995243</v>
      </c>
    </row>
    <row r="99" spans="1:9" x14ac:dyDescent="0.3">
      <c r="A99" s="4" t="s">
        <v>11</v>
      </c>
      <c r="B99" s="3">
        <v>2022</v>
      </c>
      <c r="C99" s="4" t="s">
        <v>10</v>
      </c>
      <c r="D99" s="4" t="s">
        <v>5</v>
      </c>
      <c r="E99" s="3">
        <v>252</v>
      </c>
      <c r="F99" s="3">
        <f>Merge2[[#This Row],[Coverage]]*100</f>
        <v>88</v>
      </c>
      <c r="G99" s="1">
        <v>0.88</v>
      </c>
      <c r="H99" s="3">
        <v>22509038</v>
      </c>
      <c r="I99" s="2">
        <v>1.1195502890883209</v>
      </c>
    </row>
    <row r="100" spans="1:9" x14ac:dyDescent="0.3">
      <c r="A100" s="4" t="s">
        <v>11</v>
      </c>
      <c r="B100" s="3">
        <v>2023</v>
      </c>
      <c r="C100" s="4" t="s">
        <v>10</v>
      </c>
      <c r="D100" s="4" t="s">
        <v>5</v>
      </c>
      <c r="E100" s="3">
        <v>680</v>
      </c>
      <c r="F100" s="3">
        <f>Merge2[[#This Row],[Coverage]]*100</f>
        <v>88</v>
      </c>
      <c r="G100" s="1">
        <v>0.88</v>
      </c>
      <c r="H100" s="3">
        <v>23025776</v>
      </c>
      <c r="I100" s="2">
        <v>2.9532120871843799</v>
      </c>
    </row>
    <row r="101" spans="1:9" x14ac:dyDescent="0.3">
      <c r="A101" s="4" t="s">
        <v>11</v>
      </c>
      <c r="B101" s="3">
        <v>2024</v>
      </c>
      <c r="C101" s="4" t="s">
        <v>10</v>
      </c>
      <c r="D101" s="4" t="s">
        <v>5</v>
      </c>
      <c r="E101" s="3">
        <v>4397</v>
      </c>
      <c r="F101" s="3">
        <f>Merge2[[#This Row],[Coverage]]*100</f>
        <v>88</v>
      </c>
      <c r="G101" s="1">
        <v>0.88</v>
      </c>
      <c r="H101" s="3">
        <v>23548781</v>
      </c>
      <c r="I101" s="2">
        <v>18.67187944887678</v>
      </c>
    </row>
    <row r="102" spans="1:9" x14ac:dyDescent="0.3">
      <c r="A102" s="4" t="s">
        <v>7</v>
      </c>
      <c r="B102" s="3">
        <v>2000</v>
      </c>
      <c r="C102" s="4" t="s">
        <v>6</v>
      </c>
      <c r="D102" s="4" t="s">
        <v>5</v>
      </c>
      <c r="E102" s="3">
        <v>18363</v>
      </c>
      <c r="F102" s="3">
        <f>Merge2[[#This Row],[Coverage]]*100</f>
        <v>72</v>
      </c>
      <c r="G102" s="1">
        <v>0.72</v>
      </c>
      <c r="H102" s="3">
        <v>6470194</v>
      </c>
      <c r="I102" s="2">
        <v>283.80910989685935</v>
      </c>
    </row>
    <row r="103" spans="1:9" x14ac:dyDescent="0.3">
      <c r="A103" s="4" t="s">
        <v>7</v>
      </c>
      <c r="B103" s="3">
        <v>2001</v>
      </c>
      <c r="C103" s="4" t="s">
        <v>6</v>
      </c>
      <c r="D103" s="4" t="s">
        <v>5</v>
      </c>
      <c r="E103" s="3"/>
      <c r="F103" s="3">
        <f>Merge2[[#This Row],[Coverage]]*100</f>
        <v>73</v>
      </c>
      <c r="G103" s="1">
        <v>0.73</v>
      </c>
      <c r="H103" s="3">
        <v>6634365</v>
      </c>
    </row>
    <row r="104" spans="1:9" x14ac:dyDescent="0.3">
      <c r="A104" s="4" t="s">
        <v>7</v>
      </c>
      <c r="B104" s="3">
        <v>2002</v>
      </c>
      <c r="C104" s="4" t="s">
        <v>6</v>
      </c>
      <c r="D104" s="4" t="s">
        <v>5</v>
      </c>
      <c r="E104" s="3">
        <v>1016</v>
      </c>
      <c r="F104" s="3">
        <f>Merge2[[#This Row],[Coverage]]*100</f>
        <v>75</v>
      </c>
      <c r="G104" s="1">
        <v>0.75</v>
      </c>
      <c r="H104" s="3">
        <v>6824132</v>
      </c>
      <c r="I104" s="2">
        <v>14.888340377941107</v>
      </c>
    </row>
    <row r="105" spans="1:9" x14ac:dyDescent="0.3">
      <c r="A105" s="4" t="s">
        <v>7</v>
      </c>
      <c r="B105" s="3">
        <v>2003</v>
      </c>
      <c r="C105" s="4" t="s">
        <v>6</v>
      </c>
      <c r="D105" s="4" t="s">
        <v>5</v>
      </c>
      <c r="E105" s="3">
        <v>224</v>
      </c>
      <c r="F105" s="3">
        <f>Merge2[[#This Row],[Coverage]]*100</f>
        <v>76</v>
      </c>
      <c r="G105" s="1">
        <v>0.76</v>
      </c>
      <c r="H105" s="3">
        <v>7043154</v>
      </c>
      <c r="I105" s="2">
        <v>3.180393329465748</v>
      </c>
    </row>
    <row r="106" spans="1:9" x14ac:dyDescent="0.3">
      <c r="A106" s="4" t="s">
        <v>7</v>
      </c>
      <c r="B106" s="3">
        <v>2004</v>
      </c>
      <c r="C106" s="4" t="s">
        <v>6</v>
      </c>
      <c r="D106" s="4" t="s">
        <v>5</v>
      </c>
      <c r="E106" s="3">
        <v>2</v>
      </c>
      <c r="F106" s="3">
        <f>Merge2[[#This Row],[Coverage]]*100</f>
        <v>78</v>
      </c>
      <c r="G106" s="1">
        <v>0.78</v>
      </c>
      <c r="H106" s="3">
        <v>7310656</v>
      </c>
      <c r="I106" s="2">
        <v>2.7357326073063761E-2</v>
      </c>
    </row>
    <row r="107" spans="1:9" x14ac:dyDescent="0.3">
      <c r="A107" s="4" t="s">
        <v>7</v>
      </c>
      <c r="B107" s="3">
        <v>2005</v>
      </c>
      <c r="C107" s="4" t="s">
        <v>6</v>
      </c>
      <c r="D107" s="4" t="s">
        <v>5</v>
      </c>
      <c r="E107" s="3">
        <v>0</v>
      </c>
      <c r="F107" s="3">
        <f>Merge2[[#This Row],[Coverage]]*100</f>
        <v>87</v>
      </c>
      <c r="G107" s="1">
        <v>0.87</v>
      </c>
      <c r="H107" s="3">
        <v>7587299</v>
      </c>
      <c r="I107" s="2">
        <v>0</v>
      </c>
    </row>
    <row r="108" spans="1:9" x14ac:dyDescent="0.3">
      <c r="A108" s="4" t="s">
        <v>7</v>
      </c>
      <c r="B108" s="3">
        <v>2006</v>
      </c>
      <c r="C108" s="4" t="s">
        <v>6</v>
      </c>
      <c r="D108" s="4" t="s">
        <v>5</v>
      </c>
      <c r="E108" s="3">
        <v>784</v>
      </c>
      <c r="F108" s="3">
        <f>Merge2[[#This Row],[Coverage]]*100</f>
        <v>92</v>
      </c>
      <c r="G108" s="1">
        <v>0.92</v>
      </c>
      <c r="H108" s="3">
        <v>7865547</v>
      </c>
      <c r="I108" s="2">
        <v>9.967520377158765</v>
      </c>
    </row>
    <row r="109" spans="1:9" x14ac:dyDescent="0.3">
      <c r="A109" s="4" t="s">
        <v>7</v>
      </c>
      <c r="B109" s="3">
        <v>2007</v>
      </c>
      <c r="C109" s="4" t="s">
        <v>6</v>
      </c>
      <c r="D109" s="4" t="s">
        <v>5</v>
      </c>
      <c r="E109" s="3">
        <v>43</v>
      </c>
      <c r="F109" s="3">
        <f>Merge2[[#This Row],[Coverage]]*100</f>
        <v>88</v>
      </c>
      <c r="G109" s="1">
        <v>0.88</v>
      </c>
      <c r="H109" s="3">
        <v>8161874</v>
      </c>
      <c r="I109" s="2">
        <v>0.52683979193993935</v>
      </c>
    </row>
    <row r="110" spans="1:9" x14ac:dyDescent="0.3">
      <c r="A110" s="4" t="s">
        <v>7</v>
      </c>
      <c r="B110" s="3">
        <v>2008</v>
      </c>
      <c r="C110" s="4" t="s">
        <v>6</v>
      </c>
      <c r="D110" s="4" t="s">
        <v>5</v>
      </c>
      <c r="E110" s="3">
        <v>173</v>
      </c>
      <c r="F110" s="3">
        <f>Merge2[[#This Row],[Coverage]]*100</f>
        <v>84</v>
      </c>
      <c r="G110" s="1">
        <v>0.84</v>
      </c>
      <c r="H110" s="3">
        <v>8505637</v>
      </c>
      <c r="I110" s="2">
        <v>2.0339452530127962</v>
      </c>
    </row>
    <row r="111" spans="1:9" x14ac:dyDescent="0.3">
      <c r="A111" s="4" t="s">
        <v>7</v>
      </c>
      <c r="B111" s="3">
        <v>2009</v>
      </c>
      <c r="C111" s="4" t="s">
        <v>6</v>
      </c>
      <c r="D111" s="4" t="s">
        <v>5</v>
      </c>
      <c r="E111" s="3">
        <v>305</v>
      </c>
      <c r="F111" s="3">
        <f>Merge2[[#This Row],[Coverage]]*100</f>
        <v>91</v>
      </c>
      <c r="G111" s="1">
        <v>0.91</v>
      </c>
      <c r="H111" s="3">
        <v>8947646</v>
      </c>
      <c r="I111" s="2">
        <v>3.4087177789554928</v>
      </c>
    </row>
    <row r="112" spans="1:9" x14ac:dyDescent="0.3">
      <c r="A112" s="4" t="s">
        <v>7</v>
      </c>
      <c r="B112" s="3">
        <v>2010</v>
      </c>
      <c r="C112" s="4" t="s">
        <v>6</v>
      </c>
      <c r="D112" s="4" t="s">
        <v>5</v>
      </c>
      <c r="E112" s="3">
        <v>495</v>
      </c>
      <c r="F112" s="3">
        <f>Merge2[[#This Row],[Coverage]]*100</f>
        <v>92</v>
      </c>
      <c r="G112" s="1">
        <v>0.92</v>
      </c>
      <c r="H112" s="3">
        <v>9376444</v>
      </c>
      <c r="I112" s="2">
        <v>5.2791868644445596</v>
      </c>
    </row>
    <row r="113" spans="1:9" x14ac:dyDescent="0.3">
      <c r="A113" s="4" t="s">
        <v>7</v>
      </c>
      <c r="B113" s="3">
        <v>2011</v>
      </c>
      <c r="C113" s="4" t="s">
        <v>6</v>
      </c>
      <c r="D113" s="4" t="s">
        <v>5</v>
      </c>
      <c r="E113" s="3">
        <v>129</v>
      </c>
      <c r="F113" s="3">
        <f>Merge2[[#This Row],[Coverage]]*100</f>
        <v>93</v>
      </c>
      <c r="G113" s="1">
        <v>0.93</v>
      </c>
      <c r="H113" s="3">
        <v>9717978</v>
      </c>
      <c r="I113" s="2">
        <v>1.3274366334231258</v>
      </c>
    </row>
    <row r="114" spans="1:9" x14ac:dyDescent="0.3">
      <c r="A114" s="4" t="s">
        <v>7</v>
      </c>
      <c r="B114" s="3">
        <v>2012</v>
      </c>
      <c r="C114" s="4" t="s">
        <v>6</v>
      </c>
      <c r="D114" s="4" t="s">
        <v>5</v>
      </c>
      <c r="E114" s="3">
        <v>49</v>
      </c>
      <c r="F114" s="3">
        <f>Merge2[[#This Row],[Coverage]]*100</f>
        <v>93</v>
      </c>
      <c r="G114" s="1">
        <v>0.93</v>
      </c>
      <c r="H114" s="3">
        <v>10071028</v>
      </c>
      <c r="I114" s="2">
        <v>0.48654417404062422</v>
      </c>
    </row>
    <row r="115" spans="1:9" x14ac:dyDescent="0.3">
      <c r="A115" s="4" t="s">
        <v>7</v>
      </c>
      <c r="B115" s="3">
        <v>2013</v>
      </c>
      <c r="C115" s="4" t="s">
        <v>6</v>
      </c>
      <c r="D115" s="4" t="s">
        <v>5</v>
      </c>
      <c r="E115" s="3">
        <v>0</v>
      </c>
      <c r="F115" s="3">
        <f>Merge2[[#This Row],[Coverage]]*100</f>
        <v>98</v>
      </c>
      <c r="G115" s="1">
        <v>0.98</v>
      </c>
      <c r="H115" s="3">
        <v>10439341</v>
      </c>
      <c r="I115" s="2">
        <v>0</v>
      </c>
    </row>
    <row r="116" spans="1:9" x14ac:dyDescent="0.3">
      <c r="A116" s="4" t="s">
        <v>7</v>
      </c>
      <c r="B116" s="3">
        <v>2014</v>
      </c>
      <c r="C116" s="4" t="s">
        <v>6</v>
      </c>
      <c r="D116" s="4" t="s">
        <v>5</v>
      </c>
      <c r="E116" s="3">
        <v>0</v>
      </c>
      <c r="F116" s="3">
        <f>Merge2[[#This Row],[Coverage]]*100</f>
        <v>94</v>
      </c>
      <c r="G116" s="1">
        <v>0.94</v>
      </c>
      <c r="H116" s="3">
        <v>10799785</v>
      </c>
      <c r="I116" s="2">
        <v>0</v>
      </c>
    </row>
    <row r="117" spans="1:9" x14ac:dyDescent="0.3">
      <c r="A117" s="4" t="s">
        <v>7</v>
      </c>
      <c r="B117" s="3">
        <v>2015</v>
      </c>
      <c r="C117" s="4" t="s">
        <v>6</v>
      </c>
      <c r="D117" s="4" t="s">
        <v>5</v>
      </c>
      <c r="E117" s="3">
        <v>9</v>
      </c>
      <c r="F117" s="3">
        <f>Merge2[[#This Row],[Coverage]]*100</f>
        <v>93</v>
      </c>
      <c r="G117" s="1">
        <v>0.93</v>
      </c>
      <c r="H117" s="3">
        <v>11047580</v>
      </c>
      <c r="I117" s="2">
        <v>8.1465805180863146E-2</v>
      </c>
    </row>
    <row r="118" spans="1:9" x14ac:dyDescent="0.3">
      <c r="A118" s="4" t="s">
        <v>7</v>
      </c>
      <c r="B118" s="3">
        <v>2016</v>
      </c>
      <c r="C118" s="4" t="s">
        <v>6</v>
      </c>
      <c r="D118" s="4" t="s">
        <v>5</v>
      </c>
      <c r="E118" s="3">
        <v>16</v>
      </c>
      <c r="F118" s="3">
        <f>Merge2[[#This Row],[Coverage]]*100</f>
        <v>93</v>
      </c>
      <c r="G118" s="1">
        <v>0.93</v>
      </c>
      <c r="H118" s="3">
        <v>11239451</v>
      </c>
      <c r="I118" s="2">
        <v>0.14235570758749694</v>
      </c>
    </row>
    <row r="119" spans="1:9" x14ac:dyDescent="0.3">
      <c r="A119" s="4" t="s">
        <v>7</v>
      </c>
      <c r="B119" s="3">
        <v>2017</v>
      </c>
      <c r="C119" s="4" t="s">
        <v>6</v>
      </c>
      <c r="D119" s="4" t="s">
        <v>5</v>
      </c>
      <c r="E119" s="3">
        <v>18</v>
      </c>
      <c r="F119" s="3">
        <f>Merge2[[#This Row],[Coverage]]*100</f>
        <v>90</v>
      </c>
      <c r="G119" s="1">
        <v>0.9</v>
      </c>
      <c r="H119" s="3">
        <v>11506762</v>
      </c>
      <c r="I119" s="2">
        <v>0.15642975843247647</v>
      </c>
    </row>
    <row r="120" spans="1:9" x14ac:dyDescent="0.3">
      <c r="A120" s="4" t="s">
        <v>7</v>
      </c>
      <c r="B120" s="3">
        <v>2018</v>
      </c>
      <c r="C120" s="4" t="s">
        <v>6</v>
      </c>
      <c r="D120" s="4" t="s">
        <v>5</v>
      </c>
      <c r="E120" s="3">
        <v>9</v>
      </c>
      <c r="F120" s="3">
        <f>Merge2[[#This Row],[Coverage]]*100</f>
        <v>88</v>
      </c>
      <c r="G120" s="1">
        <v>0.88</v>
      </c>
      <c r="H120" s="3">
        <v>11859446</v>
      </c>
      <c r="I120" s="2">
        <v>7.5888873729852133E-2</v>
      </c>
    </row>
    <row r="121" spans="1:9" x14ac:dyDescent="0.3">
      <c r="A121" s="4" t="s">
        <v>7</v>
      </c>
      <c r="B121" s="3">
        <v>2019</v>
      </c>
      <c r="C121" s="4" t="s">
        <v>6</v>
      </c>
      <c r="D121" s="4" t="s">
        <v>5</v>
      </c>
      <c r="E121" s="3">
        <v>112</v>
      </c>
      <c r="F121" s="3">
        <f>Merge2[[#This Row],[Coverage]]*100</f>
        <v>92</v>
      </c>
      <c r="G121" s="1">
        <v>0.92</v>
      </c>
      <c r="H121" s="3">
        <v>12255336</v>
      </c>
      <c r="I121" s="2">
        <v>0.91388763229339443</v>
      </c>
    </row>
    <row r="122" spans="1:9" x14ac:dyDescent="0.3">
      <c r="A122" s="4" t="s">
        <v>7</v>
      </c>
      <c r="B122" s="3">
        <v>2020</v>
      </c>
      <c r="C122" s="4" t="s">
        <v>6</v>
      </c>
      <c r="D122" s="4" t="s">
        <v>5</v>
      </c>
      <c r="E122" s="3">
        <v>1700</v>
      </c>
      <c r="F122" s="3">
        <f>Merge2[[#This Row],[Coverage]]*100</f>
        <v>90</v>
      </c>
      <c r="G122" s="1">
        <v>0.9</v>
      </c>
      <c r="H122" s="3">
        <v>12617036</v>
      </c>
      <c r="I122" s="2">
        <v>13.473845996793543</v>
      </c>
    </row>
    <row r="123" spans="1:9" x14ac:dyDescent="0.3">
      <c r="A123" s="4" t="s">
        <v>7</v>
      </c>
      <c r="B123" s="3">
        <v>2021</v>
      </c>
      <c r="C123" s="4" t="s">
        <v>6</v>
      </c>
      <c r="D123" s="4" t="s">
        <v>5</v>
      </c>
      <c r="E123" s="3">
        <v>369</v>
      </c>
      <c r="F123" s="3">
        <f>Merge2[[#This Row],[Coverage]]*100</f>
        <v>90</v>
      </c>
      <c r="G123" s="1">
        <v>0.9</v>
      </c>
      <c r="H123" s="3">
        <v>12965481</v>
      </c>
      <c r="I123" s="2">
        <v>2.8460185935253772</v>
      </c>
    </row>
    <row r="124" spans="1:9" x14ac:dyDescent="0.3">
      <c r="A124" s="4" t="s">
        <v>7</v>
      </c>
      <c r="B124" s="3">
        <v>2022</v>
      </c>
      <c r="C124" s="4" t="s">
        <v>6</v>
      </c>
      <c r="D124" s="4" t="s">
        <v>5</v>
      </c>
      <c r="E124" s="3">
        <v>212</v>
      </c>
      <c r="F124" s="3">
        <f>Merge2[[#This Row],[Coverage]]*100</f>
        <v>89</v>
      </c>
      <c r="G124" s="1">
        <v>0.89</v>
      </c>
      <c r="H124" s="3">
        <v>13321097</v>
      </c>
      <c r="I124" s="2">
        <v>1.5914605231085697</v>
      </c>
    </row>
    <row r="125" spans="1:9" x14ac:dyDescent="0.3">
      <c r="A125" s="4" t="s">
        <v>7</v>
      </c>
      <c r="B125" s="3">
        <v>2023</v>
      </c>
      <c r="C125" s="4" t="s">
        <v>6</v>
      </c>
      <c r="D125" s="4" t="s">
        <v>5</v>
      </c>
      <c r="E125" s="3">
        <v>1684</v>
      </c>
      <c r="F125" s="3">
        <f>Merge2[[#This Row],[Coverage]]*100</f>
        <v>86</v>
      </c>
      <c r="G125" s="1">
        <v>0.86</v>
      </c>
      <c r="H125" s="3">
        <v>13689450</v>
      </c>
      <c r="I125" s="2">
        <v>12.301443812570993</v>
      </c>
    </row>
    <row r="126" spans="1:9" x14ac:dyDescent="0.3">
      <c r="A126" s="4" t="s">
        <v>7</v>
      </c>
      <c r="B126" s="3">
        <v>2024</v>
      </c>
      <c r="C126" s="4" t="s">
        <v>6</v>
      </c>
      <c r="D126" s="4" t="s">
        <v>5</v>
      </c>
      <c r="E126" s="3">
        <v>2741</v>
      </c>
      <c r="F126" s="3">
        <f>Merge2[[#This Row],[Coverage]]*100</f>
        <v>86</v>
      </c>
      <c r="G126" s="1">
        <v>0.86</v>
      </c>
      <c r="H126" s="3">
        <v>14047786</v>
      </c>
      <c r="I126" s="2">
        <v>19.511971495009963</v>
      </c>
    </row>
    <row r="127" spans="1:9" x14ac:dyDescent="0.3">
      <c r="A127" s="4" t="s">
        <v>19</v>
      </c>
      <c r="B127" s="3">
        <v>2000</v>
      </c>
      <c r="C127" s="4" t="s">
        <v>18</v>
      </c>
      <c r="D127" s="4" t="s">
        <v>5</v>
      </c>
      <c r="E127" s="3">
        <v>14629</v>
      </c>
      <c r="F127" s="3">
        <f>Merge2[[#This Row],[Coverage]]*100</f>
        <v>49</v>
      </c>
      <c r="G127" s="1">
        <v>0.49</v>
      </c>
      <c r="H127" s="3">
        <v>14912631</v>
      </c>
      <c r="I127" s="2">
        <v>98.098048560311042</v>
      </c>
    </row>
    <row r="128" spans="1:9" x14ac:dyDescent="0.3">
      <c r="A128" s="4" t="s">
        <v>19</v>
      </c>
      <c r="B128" s="3">
        <v>2001</v>
      </c>
      <c r="C128" s="4" t="s">
        <v>18</v>
      </c>
      <c r="D128" s="4" t="s">
        <v>5</v>
      </c>
      <c r="E128" s="3">
        <v>23934</v>
      </c>
      <c r="F128" s="3">
        <f>Merge2[[#This Row],[Coverage]]*100</f>
        <v>51</v>
      </c>
      <c r="G128" s="1">
        <v>0.51</v>
      </c>
      <c r="H128" s="3">
        <v>15309490</v>
      </c>
      <c r="I128" s="2">
        <v>156.33440434658502</v>
      </c>
    </row>
    <row r="129" spans="1:9" x14ac:dyDescent="0.3">
      <c r="A129" s="4" t="s">
        <v>19</v>
      </c>
      <c r="B129" s="3">
        <v>2002</v>
      </c>
      <c r="C129" s="4" t="s">
        <v>18</v>
      </c>
      <c r="D129" s="4" t="s">
        <v>5</v>
      </c>
      <c r="E129" s="3">
        <v>1448</v>
      </c>
      <c r="F129" s="3">
        <f>Merge2[[#This Row],[Coverage]]*100</f>
        <v>53</v>
      </c>
      <c r="G129" s="1">
        <v>0.53</v>
      </c>
      <c r="H129" s="3">
        <v>15725528</v>
      </c>
      <c r="I129" s="2">
        <v>9.2079579140363368</v>
      </c>
    </row>
    <row r="130" spans="1:9" x14ac:dyDescent="0.3">
      <c r="A130" s="4" t="s">
        <v>19</v>
      </c>
      <c r="B130" s="3">
        <v>2003</v>
      </c>
      <c r="C130" s="4" t="s">
        <v>18</v>
      </c>
      <c r="D130" s="4" t="s">
        <v>5</v>
      </c>
      <c r="E130" s="3">
        <v>899</v>
      </c>
      <c r="F130" s="3">
        <f>Merge2[[#This Row],[Coverage]]*100</f>
        <v>61</v>
      </c>
      <c r="G130" s="1">
        <v>0.61</v>
      </c>
      <c r="H130" s="3">
        <v>16160340</v>
      </c>
      <c r="I130" s="2">
        <v>5.5630017685271476</v>
      </c>
    </row>
    <row r="131" spans="1:9" x14ac:dyDescent="0.3">
      <c r="A131" s="4" t="s">
        <v>19</v>
      </c>
      <c r="B131" s="3">
        <v>2004</v>
      </c>
      <c r="C131" s="4" t="s">
        <v>18</v>
      </c>
      <c r="D131" s="4" t="s">
        <v>5</v>
      </c>
      <c r="E131" s="3">
        <v>358</v>
      </c>
      <c r="F131" s="3">
        <f>Merge2[[#This Row],[Coverage]]*100</f>
        <v>64</v>
      </c>
      <c r="G131" s="1">
        <v>0.64</v>
      </c>
      <c r="H131" s="3">
        <v>16610487</v>
      </c>
      <c r="I131" s="2">
        <v>2.1552649239001842</v>
      </c>
    </row>
    <row r="132" spans="1:9" x14ac:dyDescent="0.3">
      <c r="A132" s="4" t="s">
        <v>19</v>
      </c>
      <c r="B132" s="3">
        <v>2005</v>
      </c>
      <c r="C132" s="4" t="s">
        <v>18</v>
      </c>
      <c r="D132" s="4" t="s">
        <v>5</v>
      </c>
      <c r="E132" s="3">
        <v>605</v>
      </c>
      <c r="F132" s="3">
        <f>Merge2[[#This Row],[Coverage]]*100</f>
        <v>68</v>
      </c>
      <c r="G132" s="1">
        <v>0.68</v>
      </c>
      <c r="H132" s="3">
        <v>17074594</v>
      </c>
      <c r="I132" s="2">
        <v>3.5432760509561749</v>
      </c>
    </row>
    <row r="133" spans="1:9" x14ac:dyDescent="0.3">
      <c r="A133" s="4" t="s">
        <v>19</v>
      </c>
      <c r="B133" s="3">
        <v>2006</v>
      </c>
      <c r="C133" s="4" t="s">
        <v>18</v>
      </c>
      <c r="D133" s="4" t="s">
        <v>5</v>
      </c>
      <c r="E133" s="3">
        <v>196</v>
      </c>
      <c r="F133" s="3">
        <f>Merge2[[#This Row],[Coverage]]*100</f>
        <v>73</v>
      </c>
      <c r="G133" s="1">
        <v>0.73</v>
      </c>
      <c r="H133" s="3">
        <v>17550407</v>
      </c>
      <c r="I133" s="2">
        <v>1.1167832176199675</v>
      </c>
    </row>
    <row r="134" spans="1:9" x14ac:dyDescent="0.3">
      <c r="A134" s="4" t="s">
        <v>19</v>
      </c>
      <c r="B134" s="3">
        <v>2007</v>
      </c>
      <c r="C134" s="4" t="s">
        <v>18</v>
      </c>
      <c r="D134" s="4" t="s">
        <v>5</v>
      </c>
      <c r="E134" s="3">
        <v>100</v>
      </c>
      <c r="F134" s="3">
        <f>Merge2[[#This Row],[Coverage]]*100</f>
        <v>74</v>
      </c>
      <c r="G134" s="1">
        <v>0.74</v>
      </c>
      <c r="H134" s="3">
        <v>18049896</v>
      </c>
      <c r="I134" s="2">
        <v>0.55401981263493161</v>
      </c>
    </row>
    <row r="135" spans="1:9" x14ac:dyDescent="0.3">
      <c r="A135" s="4" t="s">
        <v>19</v>
      </c>
      <c r="B135" s="3">
        <v>2008</v>
      </c>
      <c r="C135" s="4" t="s">
        <v>18</v>
      </c>
      <c r="D135" s="4" t="s">
        <v>5</v>
      </c>
      <c r="E135" s="3">
        <v>495</v>
      </c>
      <c r="F135" s="3">
        <f>Merge2[[#This Row],[Coverage]]*100</f>
        <v>80</v>
      </c>
      <c r="G135" s="1">
        <v>0.8</v>
      </c>
      <c r="H135" s="3">
        <v>18574056</v>
      </c>
      <c r="I135" s="2">
        <v>2.6650075783124594</v>
      </c>
    </row>
    <row r="136" spans="1:9" x14ac:dyDescent="0.3">
      <c r="A136" s="4" t="s">
        <v>19</v>
      </c>
      <c r="B136" s="3">
        <v>2009</v>
      </c>
      <c r="C136" s="4" t="s">
        <v>18</v>
      </c>
      <c r="D136" s="4" t="s">
        <v>5</v>
      </c>
      <c r="E136" s="3">
        <v>251</v>
      </c>
      <c r="F136" s="3">
        <f>Merge2[[#This Row],[Coverage]]*100</f>
        <v>74</v>
      </c>
      <c r="G136" s="1">
        <v>0.74</v>
      </c>
      <c r="H136" s="3">
        <v>19113974</v>
      </c>
      <c r="I136" s="2">
        <v>1.3131753762979901</v>
      </c>
    </row>
    <row r="137" spans="1:9" x14ac:dyDescent="0.3">
      <c r="A137" s="4" t="s">
        <v>19</v>
      </c>
      <c r="B137" s="3">
        <v>2010</v>
      </c>
      <c r="C137" s="4" t="s">
        <v>18</v>
      </c>
      <c r="D137" s="4" t="s">
        <v>5</v>
      </c>
      <c r="E137" s="3">
        <v>240</v>
      </c>
      <c r="F137" s="3">
        <f>Merge2[[#This Row],[Coverage]]*100</f>
        <v>79</v>
      </c>
      <c r="G137" s="1">
        <v>0.79</v>
      </c>
      <c r="H137" s="3">
        <v>19668066</v>
      </c>
      <c r="I137" s="2">
        <v>1.220252159007398</v>
      </c>
    </row>
    <row r="138" spans="1:9" x14ac:dyDescent="0.3">
      <c r="A138" s="4" t="s">
        <v>19</v>
      </c>
      <c r="B138" s="3">
        <v>2011</v>
      </c>
      <c r="C138" s="4" t="s">
        <v>18</v>
      </c>
      <c r="D138" s="4" t="s">
        <v>5</v>
      </c>
      <c r="E138" s="3">
        <v>504</v>
      </c>
      <c r="F138" s="3">
        <f>Merge2[[#This Row],[Coverage]]*100</f>
        <v>76</v>
      </c>
      <c r="G138" s="1">
        <v>0.76</v>
      </c>
      <c r="H138" s="3">
        <v>20232304</v>
      </c>
      <c r="I138" s="2">
        <v>2.4910657728353627</v>
      </c>
    </row>
    <row r="139" spans="1:9" x14ac:dyDescent="0.3">
      <c r="A139" s="4" t="s">
        <v>19</v>
      </c>
      <c r="B139" s="3">
        <v>2012</v>
      </c>
      <c r="C139" s="4" t="s">
        <v>18</v>
      </c>
      <c r="D139" s="4" t="s">
        <v>5</v>
      </c>
      <c r="E139" s="3">
        <v>609</v>
      </c>
      <c r="F139" s="3">
        <f>Merge2[[#This Row],[Coverage]]*100</f>
        <v>74</v>
      </c>
      <c r="G139" s="1">
        <v>0.74</v>
      </c>
      <c r="H139" s="3">
        <v>20809529</v>
      </c>
      <c r="I139" s="2">
        <v>2.9265438924638802</v>
      </c>
    </row>
    <row r="140" spans="1:9" x14ac:dyDescent="0.3">
      <c r="A140" s="4" t="s">
        <v>19</v>
      </c>
      <c r="B140" s="3">
        <v>2013</v>
      </c>
      <c r="C140" s="4" t="s">
        <v>18</v>
      </c>
      <c r="D140" s="4" t="s">
        <v>5</v>
      </c>
      <c r="E140" s="3">
        <v>760</v>
      </c>
      <c r="F140" s="3">
        <f>Merge2[[#This Row],[Coverage]]*100</f>
        <v>71</v>
      </c>
      <c r="G140" s="1">
        <v>0.71</v>
      </c>
      <c r="H140" s="3">
        <v>21402376</v>
      </c>
      <c r="I140" s="2">
        <v>3.5510076077534567</v>
      </c>
    </row>
    <row r="141" spans="1:9" x14ac:dyDescent="0.3">
      <c r="A141" s="4" t="s">
        <v>19</v>
      </c>
      <c r="B141" s="3">
        <v>2014</v>
      </c>
      <c r="C141" s="4" t="s">
        <v>18</v>
      </c>
      <c r="D141" s="4" t="s">
        <v>5</v>
      </c>
      <c r="E141" s="3">
        <v>831</v>
      </c>
      <c r="F141" s="3">
        <f>Merge2[[#This Row],[Coverage]]*100</f>
        <v>71</v>
      </c>
      <c r="G141" s="1">
        <v>0.71</v>
      </c>
      <c r="H141" s="3">
        <v>22059893</v>
      </c>
      <c r="I141" s="2">
        <v>3.7670173649527676</v>
      </c>
    </row>
    <row r="142" spans="1:9" x14ac:dyDescent="0.3">
      <c r="A142" s="4" t="s">
        <v>19</v>
      </c>
      <c r="B142" s="3">
        <v>2015</v>
      </c>
      <c r="C142" s="4" t="s">
        <v>18</v>
      </c>
      <c r="D142" s="4" t="s">
        <v>5</v>
      </c>
      <c r="E142" s="3">
        <v>1809</v>
      </c>
      <c r="F142" s="3">
        <f>Merge2[[#This Row],[Coverage]]*100</f>
        <v>71</v>
      </c>
      <c r="G142" s="1">
        <v>0.71</v>
      </c>
      <c r="H142" s="3">
        <v>22763414</v>
      </c>
      <c r="I142" s="2">
        <v>7.9469626129015625</v>
      </c>
    </row>
    <row r="143" spans="1:9" x14ac:dyDescent="0.3">
      <c r="A143" s="4" t="s">
        <v>19</v>
      </c>
      <c r="B143" s="3">
        <v>2016</v>
      </c>
      <c r="C143" s="4" t="s">
        <v>18</v>
      </c>
      <c r="D143" s="4" t="s">
        <v>5</v>
      </c>
      <c r="E143" s="3">
        <v>338</v>
      </c>
      <c r="F143" s="3">
        <f>Merge2[[#This Row],[Coverage]]*100</f>
        <v>72</v>
      </c>
      <c r="G143" s="1">
        <v>0.72</v>
      </c>
      <c r="H143" s="3">
        <v>23454161</v>
      </c>
      <c r="I143" s="2">
        <v>1.4411088932151528</v>
      </c>
    </row>
    <row r="144" spans="1:9" x14ac:dyDescent="0.3">
      <c r="A144" s="4" t="s">
        <v>19</v>
      </c>
      <c r="B144" s="3">
        <v>2017</v>
      </c>
      <c r="C144" s="4" t="s">
        <v>18</v>
      </c>
      <c r="D144" s="4" t="s">
        <v>5</v>
      </c>
      <c r="E144" s="3">
        <v>712</v>
      </c>
      <c r="F144" s="3">
        <f>Merge2[[#This Row],[Coverage]]*100</f>
        <v>67</v>
      </c>
      <c r="G144" s="1">
        <v>0.67</v>
      </c>
      <c r="H144" s="3">
        <v>24128601</v>
      </c>
      <c r="I144" s="2">
        <v>2.9508548796509171</v>
      </c>
    </row>
    <row r="145" spans="1:9" x14ac:dyDescent="0.3">
      <c r="A145" s="4" t="s">
        <v>19</v>
      </c>
      <c r="B145" s="3">
        <v>2018</v>
      </c>
      <c r="C145" s="4" t="s">
        <v>18</v>
      </c>
      <c r="D145" s="4" t="s">
        <v>5</v>
      </c>
      <c r="E145" s="3">
        <v>814</v>
      </c>
      <c r="F145" s="3">
        <f>Merge2[[#This Row],[Coverage]]*100</f>
        <v>61</v>
      </c>
      <c r="G145" s="1">
        <v>0.61</v>
      </c>
      <c r="H145" s="3">
        <v>24806383</v>
      </c>
      <c r="I145" s="2">
        <v>3.2814134974857079</v>
      </c>
    </row>
    <row r="146" spans="1:9" x14ac:dyDescent="0.3">
      <c r="A146" s="4" t="s">
        <v>19</v>
      </c>
      <c r="B146" s="3">
        <v>2019</v>
      </c>
      <c r="C146" s="4" t="s">
        <v>18</v>
      </c>
      <c r="D146" s="4" t="s">
        <v>5</v>
      </c>
      <c r="E146" s="3">
        <v>2809</v>
      </c>
      <c r="F146" s="3">
        <f>Merge2[[#This Row],[Coverage]]*100</f>
        <v>61</v>
      </c>
      <c r="G146" s="1">
        <v>0.61</v>
      </c>
      <c r="H146" s="3">
        <v>25506095</v>
      </c>
      <c r="I146" s="2">
        <v>11.013053938676226</v>
      </c>
    </row>
    <row r="147" spans="1:9" x14ac:dyDescent="0.3">
      <c r="A147" s="4" t="s">
        <v>19</v>
      </c>
      <c r="B147" s="3">
        <v>2020</v>
      </c>
      <c r="C147" s="4" t="s">
        <v>18</v>
      </c>
      <c r="D147" s="4" t="s">
        <v>5</v>
      </c>
      <c r="E147" s="3">
        <v>1509</v>
      </c>
      <c r="F147" s="3">
        <f>Merge2[[#This Row],[Coverage]]*100</f>
        <v>63</v>
      </c>
      <c r="G147" s="1">
        <v>0.63</v>
      </c>
      <c r="H147" s="3">
        <v>26210558</v>
      </c>
      <c r="I147" s="2">
        <v>5.7572219561292819</v>
      </c>
    </row>
    <row r="148" spans="1:9" x14ac:dyDescent="0.3">
      <c r="A148" s="4" t="s">
        <v>19</v>
      </c>
      <c r="B148" s="3">
        <v>2021</v>
      </c>
      <c r="C148" s="4" t="s">
        <v>18</v>
      </c>
      <c r="D148" s="4" t="s">
        <v>5</v>
      </c>
      <c r="E148" s="3">
        <v>771</v>
      </c>
      <c r="F148" s="3">
        <f>Merge2[[#This Row],[Coverage]]*100</f>
        <v>65</v>
      </c>
      <c r="G148" s="1">
        <v>0.65</v>
      </c>
      <c r="H148" s="3">
        <v>26915758</v>
      </c>
      <c r="I148" s="2">
        <v>2.8644929858560921</v>
      </c>
    </row>
    <row r="149" spans="1:9" x14ac:dyDescent="0.3">
      <c r="A149" s="4" t="s">
        <v>19</v>
      </c>
      <c r="B149" s="3">
        <v>2022</v>
      </c>
      <c r="C149" s="4" t="s">
        <v>18</v>
      </c>
      <c r="D149" s="4" t="s">
        <v>5</v>
      </c>
      <c r="E149" s="3">
        <v>3217</v>
      </c>
      <c r="F149" s="3">
        <f>Merge2[[#This Row],[Coverage]]*100</f>
        <v>68</v>
      </c>
      <c r="G149" s="1">
        <v>0.68</v>
      </c>
      <c r="H149" s="3">
        <v>27632771</v>
      </c>
      <c r="I149" s="2">
        <v>11.641973944632625</v>
      </c>
    </row>
    <row r="150" spans="1:9" x14ac:dyDescent="0.3">
      <c r="A150" s="4" t="s">
        <v>19</v>
      </c>
      <c r="B150" s="3">
        <v>2023</v>
      </c>
      <c r="C150" s="4" t="s">
        <v>18</v>
      </c>
      <c r="D150" s="4" t="s">
        <v>5</v>
      </c>
      <c r="E150" s="3">
        <v>6105</v>
      </c>
      <c r="F150" s="3">
        <f>Merge2[[#This Row],[Coverage]]*100</f>
        <v>71</v>
      </c>
      <c r="G150" s="1">
        <v>0.71</v>
      </c>
      <c r="H150" s="3">
        <v>28372687</v>
      </c>
      <c r="I150" s="2">
        <v>21.517172483522621</v>
      </c>
    </row>
    <row r="151" spans="1:9" x14ac:dyDescent="0.3">
      <c r="A151" s="4" t="s">
        <v>19</v>
      </c>
      <c r="B151" s="3">
        <v>2024</v>
      </c>
      <c r="C151" s="4" t="s">
        <v>18</v>
      </c>
      <c r="D151" s="4" t="s">
        <v>5</v>
      </c>
      <c r="E151" s="3">
        <v>863</v>
      </c>
      <c r="F151" s="3">
        <f>Merge2[[#This Row],[Coverage]]*100</f>
        <v>71</v>
      </c>
      <c r="G151" s="1">
        <v>0.71</v>
      </c>
      <c r="H151" s="3">
        <v>29123744</v>
      </c>
      <c r="I151" s="2">
        <v>2.9632179159382805</v>
      </c>
    </row>
    <row r="152" spans="1:9" x14ac:dyDescent="0.3">
      <c r="A152" s="4" t="s">
        <v>15</v>
      </c>
      <c r="B152" s="3">
        <v>2000</v>
      </c>
      <c r="C152" s="4" t="s">
        <v>14</v>
      </c>
      <c r="D152" s="4" t="s">
        <v>5</v>
      </c>
      <c r="E152" s="3">
        <v>3207</v>
      </c>
      <c r="F152" s="3">
        <f>Merge2[[#This Row],[Coverage]]*100</f>
        <v>36</v>
      </c>
      <c r="G152" s="1">
        <v>0.36</v>
      </c>
      <c r="H152" s="3">
        <v>3833416</v>
      </c>
      <c r="I152" s="2">
        <v>83.659065439284433</v>
      </c>
    </row>
    <row r="153" spans="1:9" x14ac:dyDescent="0.3">
      <c r="A153" s="4" t="s">
        <v>15</v>
      </c>
      <c r="B153" s="3">
        <v>2001</v>
      </c>
      <c r="C153" s="4" t="s">
        <v>14</v>
      </c>
      <c r="D153" s="4" t="s">
        <v>5</v>
      </c>
      <c r="E153" s="3">
        <v>2837</v>
      </c>
      <c r="F153" s="3">
        <f>Merge2[[#This Row],[Coverage]]*100</f>
        <v>35</v>
      </c>
      <c r="G153" s="1">
        <v>0.35</v>
      </c>
      <c r="H153" s="3">
        <v>3919487</v>
      </c>
      <c r="I153" s="2">
        <v>72.381921409613042</v>
      </c>
    </row>
    <row r="154" spans="1:9" x14ac:dyDescent="0.3">
      <c r="A154" s="4" t="s">
        <v>15</v>
      </c>
      <c r="B154" s="3">
        <v>2002</v>
      </c>
      <c r="C154" s="4" t="s">
        <v>14</v>
      </c>
      <c r="D154" s="4" t="s">
        <v>5</v>
      </c>
      <c r="E154" s="3">
        <v>938</v>
      </c>
      <c r="F154" s="3">
        <f>Merge2[[#This Row],[Coverage]]*100</f>
        <v>42</v>
      </c>
      <c r="G154" s="1">
        <v>0.42</v>
      </c>
      <c r="H154" s="3">
        <v>4006077</v>
      </c>
      <c r="I154" s="2">
        <v>23.414427630821876</v>
      </c>
    </row>
    <row r="155" spans="1:9" x14ac:dyDescent="0.3">
      <c r="A155" s="4" t="s">
        <v>15</v>
      </c>
      <c r="B155" s="3">
        <v>2003</v>
      </c>
      <c r="C155" s="4" t="s">
        <v>14</v>
      </c>
      <c r="D155" s="4" t="s">
        <v>5</v>
      </c>
      <c r="E155" s="3">
        <v>652</v>
      </c>
      <c r="F155" s="3">
        <f>Merge2[[#This Row],[Coverage]]*100</f>
        <v>49</v>
      </c>
      <c r="G155" s="1">
        <v>0.49</v>
      </c>
      <c r="H155" s="3">
        <v>4103086</v>
      </c>
      <c r="I155" s="2">
        <v>15.890478532499683</v>
      </c>
    </row>
    <row r="156" spans="1:9" x14ac:dyDescent="0.3">
      <c r="A156" s="4" t="s">
        <v>15</v>
      </c>
      <c r="B156" s="3">
        <v>2004</v>
      </c>
      <c r="C156" s="4" t="s">
        <v>14</v>
      </c>
      <c r="D156" s="4" t="s">
        <v>5</v>
      </c>
      <c r="E156" s="3">
        <v>1233</v>
      </c>
      <c r="F156" s="3">
        <f>Merge2[[#This Row],[Coverage]]*100</f>
        <v>55.000000000000007</v>
      </c>
      <c r="G156" s="1">
        <v>0.55000000000000004</v>
      </c>
      <c r="H156" s="3">
        <v>4192826</v>
      </c>
      <c r="I156" s="2">
        <v>29.407373451700597</v>
      </c>
    </row>
    <row r="157" spans="1:9" x14ac:dyDescent="0.3">
      <c r="A157" s="4" t="s">
        <v>15</v>
      </c>
      <c r="B157" s="3">
        <v>2005</v>
      </c>
      <c r="C157" s="4" t="s">
        <v>14</v>
      </c>
      <c r="D157" s="4" t="s">
        <v>5</v>
      </c>
      <c r="E157" s="3">
        <v>471</v>
      </c>
      <c r="F157" s="3">
        <f>Merge2[[#This Row],[Coverage]]*100</f>
        <v>62</v>
      </c>
      <c r="G157" s="1">
        <v>0.62</v>
      </c>
      <c r="H157" s="3">
        <v>4288810</v>
      </c>
      <c r="I157" s="2">
        <v>10.982067286729885</v>
      </c>
    </row>
    <row r="158" spans="1:9" x14ac:dyDescent="0.3">
      <c r="A158" s="4" t="s">
        <v>15</v>
      </c>
      <c r="B158" s="3">
        <v>2006</v>
      </c>
      <c r="C158" s="4" t="s">
        <v>14</v>
      </c>
      <c r="D158" s="4" t="s">
        <v>5</v>
      </c>
      <c r="E158" s="3">
        <v>3</v>
      </c>
      <c r="F158" s="3">
        <f>Merge2[[#This Row],[Coverage]]*100</f>
        <v>61</v>
      </c>
      <c r="G158" s="1">
        <v>0.61</v>
      </c>
      <c r="H158" s="3">
        <v>4377579</v>
      </c>
      <c r="I158" s="2">
        <v>6.8531030507958848E-2</v>
      </c>
    </row>
    <row r="159" spans="1:9" x14ac:dyDescent="0.3">
      <c r="A159" s="4" t="s">
        <v>15</v>
      </c>
      <c r="B159" s="3">
        <v>2007</v>
      </c>
      <c r="C159" s="4" t="s">
        <v>14</v>
      </c>
      <c r="D159" s="4" t="s">
        <v>5</v>
      </c>
      <c r="E159" s="3">
        <v>49</v>
      </c>
      <c r="F159" s="3">
        <f>Merge2[[#This Row],[Coverage]]*100</f>
        <v>59</v>
      </c>
      <c r="G159" s="1">
        <v>0.59</v>
      </c>
      <c r="H159" s="3">
        <v>4462770</v>
      </c>
      <c r="I159" s="2">
        <v>1.0979727837195286</v>
      </c>
    </row>
    <row r="160" spans="1:9" x14ac:dyDescent="0.3">
      <c r="A160" s="4" t="s">
        <v>15</v>
      </c>
      <c r="B160" s="3">
        <v>2008</v>
      </c>
      <c r="C160" s="4" t="s">
        <v>14</v>
      </c>
      <c r="D160" s="4" t="s">
        <v>5</v>
      </c>
      <c r="E160" s="3">
        <v>12</v>
      </c>
      <c r="F160" s="3">
        <f>Merge2[[#This Row],[Coverage]]*100</f>
        <v>57.999999999999993</v>
      </c>
      <c r="G160" s="1">
        <v>0.57999999999999996</v>
      </c>
      <c r="H160" s="3">
        <v>4558984</v>
      </c>
      <c r="I160" s="2">
        <v>0.26321654122936161</v>
      </c>
    </row>
    <row r="161" spans="1:9" x14ac:dyDescent="0.3">
      <c r="A161" s="4" t="s">
        <v>15</v>
      </c>
      <c r="B161" s="3">
        <v>2009</v>
      </c>
      <c r="C161" s="4" t="s">
        <v>14</v>
      </c>
      <c r="D161" s="4" t="s">
        <v>5</v>
      </c>
      <c r="E161" s="3">
        <v>11</v>
      </c>
      <c r="F161" s="3">
        <f>Merge2[[#This Row],[Coverage]]*100</f>
        <v>56.000000000000007</v>
      </c>
      <c r="G161" s="1">
        <v>0.56000000000000005</v>
      </c>
      <c r="H161" s="3">
        <v>4529047</v>
      </c>
      <c r="I161" s="2">
        <v>0.24287670231728661</v>
      </c>
    </row>
    <row r="162" spans="1:9" x14ac:dyDescent="0.3">
      <c r="A162" s="4" t="s">
        <v>15</v>
      </c>
      <c r="B162" s="3">
        <v>2010</v>
      </c>
      <c r="C162" s="4" t="s">
        <v>14</v>
      </c>
      <c r="D162" s="4" t="s">
        <v>5</v>
      </c>
      <c r="E162" s="3">
        <v>2</v>
      </c>
      <c r="F162" s="3">
        <f>Merge2[[#This Row],[Coverage]]*100</f>
        <v>53</v>
      </c>
      <c r="G162" s="1">
        <v>0.53</v>
      </c>
      <c r="H162" s="3">
        <v>4492995</v>
      </c>
      <c r="I162" s="2">
        <v>4.451373749581293E-2</v>
      </c>
    </row>
    <row r="163" spans="1:9" x14ac:dyDescent="0.3">
      <c r="A163" s="4" t="s">
        <v>15</v>
      </c>
      <c r="B163" s="3">
        <v>2011</v>
      </c>
      <c r="C163" s="4" t="s">
        <v>14</v>
      </c>
      <c r="D163" s="4" t="s">
        <v>5</v>
      </c>
      <c r="E163" s="3">
        <v>679</v>
      </c>
      <c r="F163" s="3">
        <f>Merge2[[#This Row],[Coverage]]*100</f>
        <v>49</v>
      </c>
      <c r="G163" s="1">
        <v>0.49</v>
      </c>
      <c r="H163" s="3">
        <v>4565021</v>
      </c>
      <c r="I163" s="2">
        <v>14.873973197494601</v>
      </c>
    </row>
    <row r="164" spans="1:9" x14ac:dyDescent="0.3">
      <c r="A164" s="4" t="s">
        <v>15</v>
      </c>
      <c r="B164" s="3">
        <v>2012</v>
      </c>
      <c r="C164" s="4" t="s">
        <v>14</v>
      </c>
      <c r="D164" s="4" t="s">
        <v>5</v>
      </c>
      <c r="E164" s="3">
        <v>141</v>
      </c>
      <c r="F164" s="3">
        <f>Merge2[[#This Row],[Coverage]]*100</f>
        <v>48</v>
      </c>
      <c r="G164" s="1">
        <v>0.48</v>
      </c>
      <c r="H164" s="3">
        <v>4610848</v>
      </c>
      <c r="I164" s="2">
        <v>3.0580058158499259</v>
      </c>
    </row>
    <row r="165" spans="1:9" x14ac:dyDescent="0.3">
      <c r="A165" s="4" t="s">
        <v>15</v>
      </c>
      <c r="B165" s="3">
        <v>2013</v>
      </c>
      <c r="C165" s="4" t="s">
        <v>14</v>
      </c>
      <c r="D165" s="4" t="s">
        <v>5</v>
      </c>
      <c r="E165" s="3">
        <v>596</v>
      </c>
      <c r="F165" s="3">
        <f>Merge2[[#This Row],[Coverage]]*100</f>
        <v>25</v>
      </c>
      <c r="G165" s="1">
        <v>0.25</v>
      </c>
      <c r="H165" s="3">
        <v>4642419</v>
      </c>
      <c r="I165" s="2">
        <v>12.838134601809962</v>
      </c>
    </row>
    <row r="166" spans="1:9" x14ac:dyDescent="0.3">
      <c r="A166" s="4" t="s">
        <v>15</v>
      </c>
      <c r="B166" s="3">
        <v>2014</v>
      </c>
      <c r="C166" s="4" t="s">
        <v>14</v>
      </c>
      <c r="D166" s="4" t="s">
        <v>5</v>
      </c>
      <c r="E166" s="3">
        <v>210</v>
      </c>
      <c r="F166" s="3">
        <f>Merge2[[#This Row],[Coverage]]*100</f>
        <v>47</v>
      </c>
      <c r="G166" s="1">
        <v>0.47</v>
      </c>
      <c r="H166" s="3">
        <v>4623182</v>
      </c>
      <c r="I166" s="2">
        <v>4.5423260429721353</v>
      </c>
    </row>
    <row r="167" spans="1:9" x14ac:dyDescent="0.3">
      <c r="A167" s="4" t="s">
        <v>15</v>
      </c>
      <c r="B167" s="3">
        <v>2015</v>
      </c>
      <c r="C167" s="4" t="s">
        <v>14</v>
      </c>
      <c r="D167" s="4" t="s">
        <v>5</v>
      </c>
      <c r="E167" s="3">
        <v>150</v>
      </c>
      <c r="F167" s="3">
        <f>Merge2[[#This Row],[Coverage]]*100</f>
        <v>46</v>
      </c>
      <c r="G167" s="1">
        <v>0.46</v>
      </c>
      <c r="H167" s="3">
        <v>4629320</v>
      </c>
      <c r="I167" s="2">
        <v>3.2402167056932765</v>
      </c>
    </row>
    <row r="168" spans="1:9" x14ac:dyDescent="0.3">
      <c r="A168" s="4" t="s">
        <v>15</v>
      </c>
      <c r="B168" s="3">
        <v>2016</v>
      </c>
      <c r="C168" s="4" t="s">
        <v>14</v>
      </c>
      <c r="D168" s="4" t="s">
        <v>5</v>
      </c>
      <c r="E168" s="3">
        <v>367</v>
      </c>
      <c r="F168" s="3">
        <f>Merge2[[#This Row],[Coverage]]*100</f>
        <v>45</v>
      </c>
      <c r="G168" s="1">
        <v>0.45</v>
      </c>
      <c r="H168" s="3">
        <v>4713663</v>
      </c>
      <c r="I168" s="2">
        <v>7.7858769284100289</v>
      </c>
    </row>
    <row r="169" spans="1:9" x14ac:dyDescent="0.3">
      <c r="A169" s="4" t="s">
        <v>15</v>
      </c>
      <c r="B169" s="3">
        <v>2017</v>
      </c>
      <c r="C169" s="4" t="s">
        <v>14</v>
      </c>
      <c r="D169" s="4" t="s">
        <v>5</v>
      </c>
      <c r="E169" s="3">
        <v>801</v>
      </c>
      <c r="F169" s="3">
        <f>Merge2[[#This Row],[Coverage]]*100</f>
        <v>41</v>
      </c>
      <c r="G169" s="1">
        <v>0.41</v>
      </c>
      <c r="H169" s="3">
        <v>4793511</v>
      </c>
      <c r="I169" s="2">
        <v>16.710089952855018</v>
      </c>
    </row>
    <row r="170" spans="1:9" x14ac:dyDescent="0.3">
      <c r="A170" s="4" t="s">
        <v>15</v>
      </c>
      <c r="B170" s="3">
        <v>2018</v>
      </c>
      <c r="C170" s="4" t="s">
        <v>14</v>
      </c>
      <c r="D170" s="4" t="s">
        <v>5</v>
      </c>
      <c r="E170" s="3">
        <v>224</v>
      </c>
      <c r="F170" s="3">
        <f>Merge2[[#This Row],[Coverage]]*100</f>
        <v>39</v>
      </c>
      <c r="G170" s="1">
        <v>0.39</v>
      </c>
      <c r="H170" s="3">
        <v>4878657</v>
      </c>
      <c r="I170" s="2">
        <v>4.5914275178599357</v>
      </c>
    </row>
    <row r="171" spans="1:9" x14ac:dyDescent="0.3">
      <c r="A171" s="4" t="s">
        <v>15</v>
      </c>
      <c r="B171" s="3">
        <v>2019</v>
      </c>
      <c r="C171" s="4" t="s">
        <v>14</v>
      </c>
      <c r="D171" s="4" t="s">
        <v>5</v>
      </c>
      <c r="E171" s="3">
        <v>3390</v>
      </c>
      <c r="F171" s="3">
        <f>Merge2[[#This Row],[Coverage]]*100</f>
        <v>37</v>
      </c>
      <c r="G171" s="1">
        <v>0.37</v>
      </c>
      <c r="H171" s="3">
        <v>4944703</v>
      </c>
      <c r="I171" s="2">
        <v>68.558212697506804</v>
      </c>
    </row>
    <row r="172" spans="1:9" x14ac:dyDescent="0.3">
      <c r="A172" s="4" t="s">
        <v>15</v>
      </c>
      <c r="B172" s="3">
        <v>2020</v>
      </c>
      <c r="C172" s="4" t="s">
        <v>14</v>
      </c>
      <c r="D172" s="4" t="s">
        <v>5</v>
      </c>
      <c r="E172" s="3">
        <v>3433</v>
      </c>
      <c r="F172" s="3">
        <f>Merge2[[#This Row],[Coverage]]*100</f>
        <v>36</v>
      </c>
      <c r="G172" s="1">
        <v>0.36</v>
      </c>
      <c r="H172" s="3">
        <v>5026628</v>
      </c>
      <c r="I172" s="2">
        <v>68.296281324179944</v>
      </c>
    </row>
    <row r="173" spans="1:9" x14ac:dyDescent="0.3">
      <c r="A173" s="4" t="s">
        <v>15</v>
      </c>
      <c r="B173" s="3">
        <v>2021</v>
      </c>
      <c r="C173" s="4" t="s">
        <v>14</v>
      </c>
      <c r="D173" s="4" t="s">
        <v>5</v>
      </c>
      <c r="E173" s="3">
        <v>286</v>
      </c>
      <c r="F173" s="3">
        <f>Merge2[[#This Row],[Coverage]]*100</f>
        <v>34</v>
      </c>
      <c r="G173" s="1">
        <v>0.34</v>
      </c>
      <c r="H173" s="3">
        <v>5112100</v>
      </c>
      <c r="I173" s="2">
        <v>5.5945697462882178</v>
      </c>
    </row>
    <row r="174" spans="1:9" x14ac:dyDescent="0.3">
      <c r="A174" s="4" t="s">
        <v>15</v>
      </c>
      <c r="B174" s="3">
        <v>2022</v>
      </c>
      <c r="C174" s="4" t="s">
        <v>14</v>
      </c>
      <c r="D174" s="4" t="s">
        <v>5</v>
      </c>
      <c r="E174" s="3">
        <v>155</v>
      </c>
      <c r="F174" s="3">
        <f>Merge2[[#This Row],[Coverage]]*100</f>
        <v>32</v>
      </c>
      <c r="G174" s="1">
        <v>0.32</v>
      </c>
      <c r="H174" s="3">
        <v>5098039</v>
      </c>
      <c r="I174" s="2">
        <v>3.0403847440162775</v>
      </c>
    </row>
    <row r="175" spans="1:9" x14ac:dyDescent="0.3">
      <c r="A175" s="4" t="s">
        <v>15</v>
      </c>
      <c r="B175" s="3">
        <v>2023</v>
      </c>
      <c r="C175" s="4" t="s">
        <v>14</v>
      </c>
      <c r="D175" s="4" t="s">
        <v>5</v>
      </c>
      <c r="E175" s="3">
        <v>3841</v>
      </c>
      <c r="F175" s="3">
        <f>Merge2[[#This Row],[Coverage]]*100</f>
        <v>39</v>
      </c>
      <c r="G175" s="1">
        <v>0.39</v>
      </c>
      <c r="H175" s="3">
        <v>5152421</v>
      </c>
      <c r="I175" s="2">
        <v>74.547479718757458</v>
      </c>
    </row>
    <row r="176" spans="1:9" x14ac:dyDescent="0.3">
      <c r="A176" s="4" t="s">
        <v>15</v>
      </c>
      <c r="B176" s="3">
        <v>2024</v>
      </c>
      <c r="C176" s="4" t="s">
        <v>14</v>
      </c>
      <c r="D176" s="4" t="s">
        <v>5</v>
      </c>
      <c r="E176" s="3">
        <v>125</v>
      </c>
      <c r="F176" s="3">
        <f>Merge2[[#This Row],[Coverage]]*100</f>
        <v>41</v>
      </c>
      <c r="G176" s="1">
        <v>0.41</v>
      </c>
      <c r="H176" s="3">
        <v>5330690</v>
      </c>
      <c r="I176" s="2">
        <v>2.3449121971076914</v>
      </c>
    </row>
    <row r="177" spans="1:9" x14ac:dyDescent="0.3">
      <c r="A177" s="4" t="s">
        <v>25</v>
      </c>
      <c r="B177" s="3">
        <v>2000</v>
      </c>
      <c r="C177" s="4" t="s">
        <v>24</v>
      </c>
      <c r="D177" s="4" t="s">
        <v>5</v>
      </c>
      <c r="E177" s="3"/>
      <c r="F177" s="3">
        <f>Merge2[[#This Row],[Coverage]]*100</f>
        <v>70</v>
      </c>
      <c r="G177" s="1">
        <v>0.7</v>
      </c>
      <c r="H177" s="3">
        <v>536080</v>
      </c>
    </row>
    <row r="178" spans="1:9" x14ac:dyDescent="0.3">
      <c r="A178" s="4" t="s">
        <v>25</v>
      </c>
      <c r="B178" s="3">
        <v>2001</v>
      </c>
      <c r="C178" s="4" t="s">
        <v>24</v>
      </c>
      <c r="D178" s="4" t="s">
        <v>5</v>
      </c>
      <c r="E178" s="3"/>
      <c r="F178" s="3">
        <f>Merge2[[#This Row],[Coverage]]*100</f>
        <v>70</v>
      </c>
      <c r="G178" s="1">
        <v>0.7</v>
      </c>
      <c r="H178" s="3">
        <v>547220</v>
      </c>
    </row>
    <row r="179" spans="1:9" x14ac:dyDescent="0.3">
      <c r="A179" s="4" t="s">
        <v>25</v>
      </c>
      <c r="B179" s="3">
        <v>2002</v>
      </c>
      <c r="C179" s="4" t="s">
        <v>24</v>
      </c>
      <c r="D179" s="4" t="s">
        <v>5</v>
      </c>
      <c r="E179" s="3">
        <v>0</v>
      </c>
      <c r="F179" s="3">
        <f>Merge2[[#This Row],[Coverage]]*100</f>
        <v>71</v>
      </c>
      <c r="G179" s="1">
        <v>0.71</v>
      </c>
      <c r="H179" s="3">
        <v>558923</v>
      </c>
      <c r="I179" s="2">
        <v>0</v>
      </c>
    </row>
    <row r="180" spans="1:9" x14ac:dyDescent="0.3">
      <c r="A180" s="4" t="s">
        <v>25</v>
      </c>
      <c r="B180" s="3">
        <v>2003</v>
      </c>
      <c r="C180" s="4" t="s">
        <v>24</v>
      </c>
      <c r="D180" s="4" t="s">
        <v>5</v>
      </c>
      <c r="E180" s="3">
        <v>0</v>
      </c>
      <c r="F180" s="3">
        <f>Merge2[[#This Row],[Coverage]]*100</f>
        <v>67</v>
      </c>
      <c r="G180" s="1">
        <v>0.67</v>
      </c>
      <c r="H180" s="3">
        <v>569798</v>
      </c>
      <c r="I180" s="2">
        <v>0</v>
      </c>
    </row>
    <row r="181" spans="1:9" x14ac:dyDescent="0.3">
      <c r="A181" s="4" t="s">
        <v>25</v>
      </c>
      <c r="B181" s="3">
        <v>2004</v>
      </c>
      <c r="C181" s="4" t="s">
        <v>24</v>
      </c>
      <c r="D181" s="4" t="s">
        <v>5</v>
      </c>
      <c r="E181" s="3">
        <v>0</v>
      </c>
      <c r="F181" s="3">
        <f>Merge2[[#This Row],[Coverage]]*100</f>
        <v>76</v>
      </c>
      <c r="G181" s="1">
        <v>0.76</v>
      </c>
      <c r="H181" s="3">
        <v>580704</v>
      </c>
      <c r="I181" s="2">
        <v>0</v>
      </c>
    </row>
    <row r="182" spans="1:9" x14ac:dyDescent="0.3">
      <c r="A182" s="4" t="s">
        <v>25</v>
      </c>
      <c r="B182" s="3">
        <v>2005</v>
      </c>
      <c r="C182" s="4" t="s">
        <v>24</v>
      </c>
      <c r="D182" s="4" t="s">
        <v>5</v>
      </c>
      <c r="E182" s="3">
        <v>912</v>
      </c>
      <c r="F182" s="3">
        <f>Merge2[[#This Row],[Coverage]]*100</f>
        <v>67</v>
      </c>
      <c r="G182" s="1">
        <v>0.67</v>
      </c>
      <c r="H182" s="3">
        <v>592677</v>
      </c>
      <c r="I182" s="2">
        <v>153.87808199069647</v>
      </c>
    </row>
    <row r="183" spans="1:9" x14ac:dyDescent="0.3">
      <c r="A183" s="4" t="s">
        <v>25</v>
      </c>
      <c r="B183" s="3">
        <v>2006</v>
      </c>
      <c r="C183" s="4" t="s">
        <v>24</v>
      </c>
      <c r="D183" s="4" t="s">
        <v>5</v>
      </c>
      <c r="E183" s="3">
        <v>85</v>
      </c>
      <c r="F183" s="3">
        <f>Merge2[[#This Row],[Coverage]]*100</f>
        <v>66</v>
      </c>
      <c r="G183" s="1">
        <v>0.66</v>
      </c>
      <c r="H183" s="3">
        <v>604753</v>
      </c>
      <c r="I183" s="2">
        <v>14.055325066597439</v>
      </c>
    </row>
    <row r="184" spans="1:9" x14ac:dyDescent="0.3">
      <c r="A184" s="4" t="s">
        <v>25</v>
      </c>
      <c r="B184" s="3">
        <v>2007</v>
      </c>
      <c r="C184" s="4" t="s">
        <v>24</v>
      </c>
      <c r="D184" s="4" t="s">
        <v>5</v>
      </c>
      <c r="E184" s="3">
        <v>0</v>
      </c>
      <c r="F184" s="3">
        <f>Merge2[[#This Row],[Coverage]]*100</f>
        <v>65</v>
      </c>
      <c r="G184" s="1">
        <v>0.65</v>
      </c>
      <c r="H184" s="3">
        <v>616927</v>
      </c>
      <c r="I184" s="2">
        <v>0</v>
      </c>
    </row>
    <row r="185" spans="1:9" x14ac:dyDescent="0.3">
      <c r="A185" s="4" t="s">
        <v>25</v>
      </c>
      <c r="B185" s="3">
        <v>2008</v>
      </c>
      <c r="C185" s="4" t="s">
        <v>24</v>
      </c>
      <c r="D185" s="4" t="s">
        <v>5</v>
      </c>
      <c r="E185" s="3">
        <v>0</v>
      </c>
      <c r="F185" s="3">
        <f>Merge2[[#This Row],[Coverage]]*100</f>
        <v>76</v>
      </c>
      <c r="G185" s="1">
        <v>0.76</v>
      </c>
      <c r="H185" s="3">
        <v>629307</v>
      </c>
      <c r="I185" s="2">
        <v>0</v>
      </c>
    </row>
    <row r="186" spans="1:9" x14ac:dyDescent="0.3">
      <c r="A186" s="4" t="s">
        <v>25</v>
      </c>
      <c r="B186" s="3">
        <v>2009</v>
      </c>
      <c r="C186" s="4" t="s">
        <v>24</v>
      </c>
      <c r="D186" s="4" t="s">
        <v>5</v>
      </c>
      <c r="E186" s="3">
        <v>1</v>
      </c>
      <c r="F186" s="3">
        <f>Merge2[[#This Row],[Coverage]]*100</f>
        <v>79</v>
      </c>
      <c r="G186" s="1">
        <v>0.79</v>
      </c>
      <c r="H186" s="3">
        <v>641947</v>
      </c>
      <c r="I186" s="2">
        <v>0.15577609989609734</v>
      </c>
    </row>
    <row r="187" spans="1:9" x14ac:dyDescent="0.3">
      <c r="A187" s="4" t="s">
        <v>25</v>
      </c>
      <c r="B187" s="3">
        <v>2010</v>
      </c>
      <c r="C187" s="4" t="s">
        <v>24</v>
      </c>
      <c r="D187" s="4" t="s">
        <v>5</v>
      </c>
      <c r="E187" s="3">
        <v>0</v>
      </c>
      <c r="F187" s="3">
        <f>Merge2[[#This Row],[Coverage]]*100</f>
        <v>72</v>
      </c>
      <c r="G187" s="1">
        <v>0.72</v>
      </c>
      <c r="H187" s="3">
        <v>654836</v>
      </c>
      <c r="I187" s="2">
        <v>0</v>
      </c>
    </row>
    <row r="188" spans="1:9" x14ac:dyDescent="0.3">
      <c r="A188" s="4" t="s">
        <v>25</v>
      </c>
      <c r="B188" s="3">
        <v>2011</v>
      </c>
      <c r="C188" s="4" t="s">
        <v>24</v>
      </c>
      <c r="D188" s="4" t="s">
        <v>5</v>
      </c>
      <c r="E188" s="3">
        <v>3</v>
      </c>
      <c r="F188" s="3">
        <f>Merge2[[#This Row],[Coverage]]*100</f>
        <v>79</v>
      </c>
      <c r="G188" s="1">
        <v>0.79</v>
      </c>
      <c r="H188" s="3">
        <v>668056</v>
      </c>
      <c r="I188" s="2">
        <v>0.44906415031075242</v>
      </c>
    </row>
    <row r="189" spans="1:9" x14ac:dyDescent="0.3">
      <c r="A189" s="4" t="s">
        <v>25</v>
      </c>
      <c r="B189" s="3">
        <v>2012</v>
      </c>
      <c r="C189" s="4" t="s">
        <v>24</v>
      </c>
      <c r="D189" s="4" t="s">
        <v>5</v>
      </c>
      <c r="E189" s="3">
        <v>1</v>
      </c>
      <c r="F189" s="3">
        <f>Merge2[[#This Row],[Coverage]]*100</f>
        <v>85</v>
      </c>
      <c r="G189" s="1">
        <v>0.85</v>
      </c>
      <c r="H189" s="3">
        <v>681630</v>
      </c>
      <c r="I189" s="2">
        <v>0.14670715784223112</v>
      </c>
    </row>
    <row r="190" spans="1:9" x14ac:dyDescent="0.3">
      <c r="A190" s="4" t="s">
        <v>25</v>
      </c>
      <c r="B190" s="3">
        <v>2013</v>
      </c>
      <c r="C190" s="4" t="s">
        <v>24</v>
      </c>
      <c r="D190" s="4" t="s">
        <v>5</v>
      </c>
      <c r="E190" s="3">
        <v>0</v>
      </c>
      <c r="F190" s="3">
        <f>Merge2[[#This Row],[Coverage]]*100</f>
        <v>82</v>
      </c>
      <c r="G190" s="1">
        <v>0.82</v>
      </c>
      <c r="H190" s="3">
        <v>696192</v>
      </c>
      <c r="I190" s="2">
        <v>0</v>
      </c>
    </row>
    <row r="191" spans="1:9" x14ac:dyDescent="0.3">
      <c r="A191" s="4" t="s">
        <v>25</v>
      </c>
      <c r="B191" s="3">
        <v>2014</v>
      </c>
      <c r="C191" s="4" t="s">
        <v>24</v>
      </c>
      <c r="D191" s="4" t="s">
        <v>5</v>
      </c>
      <c r="E191" s="3">
        <v>0</v>
      </c>
      <c r="F191" s="3">
        <f>Merge2[[#This Row],[Coverage]]*100</f>
        <v>80</v>
      </c>
      <c r="G191" s="1">
        <v>0.8</v>
      </c>
      <c r="H191" s="3">
        <v>711503</v>
      </c>
      <c r="I191" s="2">
        <v>0</v>
      </c>
    </row>
    <row r="192" spans="1:9" x14ac:dyDescent="0.3">
      <c r="A192" s="4" t="s">
        <v>23</v>
      </c>
      <c r="B192" s="3">
        <v>2000</v>
      </c>
      <c r="C192" s="4" t="s">
        <v>22</v>
      </c>
      <c r="D192" s="4" t="s">
        <v>5</v>
      </c>
      <c r="E192" s="3">
        <v>1678</v>
      </c>
      <c r="F192" s="3">
        <f>Merge2[[#This Row],[Coverage]]*100</f>
        <v>34</v>
      </c>
      <c r="G192" s="1">
        <v>0.34</v>
      </c>
      <c r="H192" s="3">
        <v>3151345</v>
      </c>
      <c r="I192" s="2">
        <v>53.247105600941822</v>
      </c>
    </row>
    <row r="193" spans="1:9" x14ac:dyDescent="0.3">
      <c r="A193" s="4" t="s">
        <v>23</v>
      </c>
      <c r="B193" s="3">
        <v>2001</v>
      </c>
      <c r="C193" s="4" t="s">
        <v>22</v>
      </c>
      <c r="D193" s="4" t="s">
        <v>5</v>
      </c>
      <c r="E193" s="3">
        <v>2152</v>
      </c>
      <c r="F193" s="3">
        <f>Merge2[[#This Row],[Coverage]]*100</f>
        <v>35</v>
      </c>
      <c r="G193" s="1">
        <v>0.35</v>
      </c>
      <c r="H193" s="3">
        <v>3272537</v>
      </c>
      <c r="I193" s="2">
        <v>65.759378732769108</v>
      </c>
    </row>
    <row r="194" spans="1:9" x14ac:dyDescent="0.3">
      <c r="A194" s="4" t="s">
        <v>23</v>
      </c>
      <c r="B194" s="3">
        <v>2002</v>
      </c>
      <c r="C194" s="4" t="s">
        <v>22</v>
      </c>
      <c r="D194" s="4" t="s">
        <v>5</v>
      </c>
      <c r="E194" s="3">
        <v>2788</v>
      </c>
      <c r="F194" s="3">
        <f>Merge2[[#This Row],[Coverage]]*100</f>
        <v>37</v>
      </c>
      <c r="G194" s="1">
        <v>0.37</v>
      </c>
      <c r="H194" s="3">
        <v>3350771</v>
      </c>
      <c r="I194" s="2">
        <v>83.204731090247591</v>
      </c>
    </row>
    <row r="195" spans="1:9" x14ac:dyDescent="0.3">
      <c r="A195" s="4" t="s">
        <v>23</v>
      </c>
      <c r="B195" s="3">
        <v>2003</v>
      </c>
      <c r="C195" s="4" t="s">
        <v>22</v>
      </c>
      <c r="D195" s="4" t="s">
        <v>5</v>
      </c>
      <c r="E195" s="3">
        <v>3712</v>
      </c>
      <c r="F195" s="3">
        <f>Merge2[[#This Row],[Coverage]]*100</f>
        <v>50</v>
      </c>
      <c r="G195" s="1">
        <v>0.5</v>
      </c>
      <c r="H195" s="3">
        <v>3445753</v>
      </c>
      <c r="I195" s="2">
        <v>107.72681617051484</v>
      </c>
    </row>
    <row r="196" spans="1:9" x14ac:dyDescent="0.3">
      <c r="A196" s="4" t="s">
        <v>23</v>
      </c>
      <c r="B196" s="3">
        <v>2004</v>
      </c>
      <c r="C196" s="4" t="s">
        <v>22</v>
      </c>
      <c r="D196" s="4" t="s">
        <v>5</v>
      </c>
      <c r="E196" s="3">
        <v>3524</v>
      </c>
      <c r="F196" s="3">
        <f>Merge2[[#This Row],[Coverage]]*100</f>
        <v>65</v>
      </c>
      <c r="G196" s="1">
        <v>0.65</v>
      </c>
      <c r="H196" s="3">
        <v>3565554</v>
      </c>
      <c r="I196" s="2">
        <v>98.83457100916155</v>
      </c>
    </row>
    <row r="197" spans="1:9" x14ac:dyDescent="0.3">
      <c r="A197" s="4" t="s">
        <v>23</v>
      </c>
      <c r="B197" s="3">
        <v>2005</v>
      </c>
      <c r="C197" s="4" t="s">
        <v>22</v>
      </c>
      <c r="D197" s="4" t="s">
        <v>5</v>
      </c>
      <c r="E197" s="3">
        <v>146</v>
      </c>
      <c r="F197" s="3">
        <f>Merge2[[#This Row],[Coverage]]*100</f>
        <v>54</v>
      </c>
      <c r="G197" s="1">
        <v>0.54</v>
      </c>
      <c r="H197" s="3">
        <v>3696393</v>
      </c>
      <c r="I197" s="2">
        <v>3.9497964637418153</v>
      </c>
    </row>
    <row r="198" spans="1:9" x14ac:dyDescent="0.3">
      <c r="A198" s="4" t="s">
        <v>23</v>
      </c>
      <c r="B198" s="3">
        <v>2006</v>
      </c>
      <c r="C198" s="4" t="s">
        <v>22</v>
      </c>
      <c r="D198" s="4" t="s">
        <v>5</v>
      </c>
      <c r="E198" s="3">
        <v>126</v>
      </c>
      <c r="F198" s="3">
        <f>Merge2[[#This Row],[Coverage]]*100</f>
        <v>61</v>
      </c>
      <c r="G198" s="1">
        <v>0.61</v>
      </c>
      <c r="H198" s="3">
        <v>3837409</v>
      </c>
      <c r="I198" s="2">
        <v>3.2834654841326536</v>
      </c>
    </row>
    <row r="199" spans="1:9" x14ac:dyDescent="0.3">
      <c r="A199" s="4" t="s">
        <v>23</v>
      </c>
      <c r="B199" s="3">
        <v>2007</v>
      </c>
      <c r="C199" s="4" t="s">
        <v>22</v>
      </c>
      <c r="D199" s="4" t="s">
        <v>5</v>
      </c>
      <c r="E199" s="3">
        <v>84</v>
      </c>
      <c r="F199" s="3">
        <f>Merge2[[#This Row],[Coverage]]*100</f>
        <v>59</v>
      </c>
      <c r="G199" s="1">
        <v>0.59</v>
      </c>
      <c r="H199" s="3">
        <v>3980430</v>
      </c>
      <c r="I199" s="2">
        <v>2.1103247639074172</v>
      </c>
    </row>
    <row r="200" spans="1:9" x14ac:dyDescent="0.3">
      <c r="A200" s="4" t="s">
        <v>23</v>
      </c>
      <c r="B200" s="3">
        <v>2008</v>
      </c>
      <c r="C200" s="4" t="s">
        <v>22</v>
      </c>
      <c r="D200" s="4" t="s">
        <v>5</v>
      </c>
      <c r="E200" s="3">
        <v>2</v>
      </c>
      <c r="F200" s="3">
        <f>Merge2[[#This Row],[Coverage]]*100</f>
        <v>69</v>
      </c>
      <c r="G200" s="1">
        <v>0.69</v>
      </c>
      <c r="H200" s="3">
        <v>4113517</v>
      </c>
      <c r="I200" s="2">
        <v>4.8620195321910663E-2</v>
      </c>
    </row>
    <row r="201" spans="1:9" x14ac:dyDescent="0.3">
      <c r="A201" s="4" t="s">
        <v>23</v>
      </c>
      <c r="B201" s="3">
        <v>2009</v>
      </c>
      <c r="C201" s="4" t="s">
        <v>22</v>
      </c>
      <c r="D201" s="4" t="s">
        <v>5</v>
      </c>
      <c r="E201" s="3">
        <v>1</v>
      </c>
      <c r="F201" s="3">
        <f>Merge2[[#This Row],[Coverage]]*100</f>
        <v>63</v>
      </c>
      <c r="G201" s="1">
        <v>0.63</v>
      </c>
      <c r="H201" s="3">
        <v>4281219</v>
      </c>
      <c r="I201" s="2">
        <v>2.3357833364749621E-2</v>
      </c>
    </row>
    <row r="202" spans="1:9" x14ac:dyDescent="0.3">
      <c r="A202" s="4" t="s">
        <v>23</v>
      </c>
      <c r="B202" s="3">
        <v>2010</v>
      </c>
      <c r="C202" s="4" t="s">
        <v>22</v>
      </c>
      <c r="D202" s="4" t="s">
        <v>5</v>
      </c>
      <c r="E202" s="3">
        <v>4</v>
      </c>
      <c r="F202" s="3">
        <f>Merge2[[#This Row],[Coverage]]*100</f>
        <v>75</v>
      </c>
      <c r="G202" s="1">
        <v>0.75</v>
      </c>
      <c r="H202" s="3">
        <v>4462290</v>
      </c>
      <c r="I202" s="2">
        <v>8.9640072698098955E-2</v>
      </c>
    </row>
    <row r="203" spans="1:9" x14ac:dyDescent="0.3">
      <c r="A203" s="4" t="s">
        <v>23</v>
      </c>
      <c r="B203" s="3">
        <v>2011</v>
      </c>
      <c r="C203" s="4" t="s">
        <v>22</v>
      </c>
      <c r="D203" s="4" t="s">
        <v>5</v>
      </c>
      <c r="E203" s="3">
        <v>315</v>
      </c>
      <c r="F203" s="3">
        <f>Merge2[[#This Row],[Coverage]]*100</f>
        <v>83</v>
      </c>
      <c r="G203" s="1">
        <v>0.83</v>
      </c>
      <c r="H203" s="3">
        <v>4609724</v>
      </c>
      <c r="I203" s="2">
        <v>6.8333809139115491</v>
      </c>
    </row>
    <row r="204" spans="1:9" x14ac:dyDescent="0.3">
      <c r="A204" s="4" t="s">
        <v>23</v>
      </c>
      <c r="B204" s="3">
        <v>2012</v>
      </c>
      <c r="C204" s="4" t="s">
        <v>22</v>
      </c>
      <c r="D204" s="4" t="s">
        <v>5</v>
      </c>
      <c r="E204" s="3">
        <v>260</v>
      </c>
      <c r="F204" s="3">
        <f>Merge2[[#This Row],[Coverage]]*100</f>
        <v>80</v>
      </c>
      <c r="G204" s="1">
        <v>0.8</v>
      </c>
      <c r="H204" s="3">
        <v>4740450</v>
      </c>
      <c r="I204" s="2">
        <v>5.4847113670643077</v>
      </c>
    </row>
    <row r="205" spans="1:9" x14ac:dyDescent="0.3">
      <c r="A205" s="4" t="s">
        <v>23</v>
      </c>
      <c r="B205" s="3">
        <v>2013</v>
      </c>
      <c r="C205" s="4" t="s">
        <v>22</v>
      </c>
      <c r="D205" s="4" t="s">
        <v>5</v>
      </c>
      <c r="E205" s="3">
        <v>124</v>
      </c>
      <c r="F205" s="3">
        <f>Merge2[[#This Row],[Coverage]]*100</f>
        <v>80</v>
      </c>
      <c r="G205" s="1">
        <v>0.8</v>
      </c>
      <c r="H205" s="3">
        <v>4857099</v>
      </c>
      <c r="I205" s="2">
        <v>2.5529642282358256</v>
      </c>
    </row>
    <row r="206" spans="1:9" x14ac:dyDescent="0.3">
      <c r="A206" s="4" t="s">
        <v>23</v>
      </c>
      <c r="B206" s="3">
        <v>2014</v>
      </c>
      <c r="C206" s="4" t="s">
        <v>22</v>
      </c>
      <c r="D206" s="4" t="s">
        <v>5</v>
      </c>
      <c r="E206" s="3">
        <v>71</v>
      </c>
      <c r="F206" s="3">
        <f>Merge2[[#This Row],[Coverage]]*100</f>
        <v>80</v>
      </c>
      <c r="G206" s="1">
        <v>0.8</v>
      </c>
      <c r="H206" s="3">
        <v>4975880</v>
      </c>
      <c r="I206" s="2">
        <v>1.4268832849666793</v>
      </c>
    </row>
    <row r="207" spans="1:9" x14ac:dyDescent="0.3">
      <c r="A207" s="4" t="s">
        <v>23</v>
      </c>
      <c r="B207" s="3">
        <v>2015</v>
      </c>
      <c r="C207" s="4" t="s">
        <v>22</v>
      </c>
      <c r="D207" s="4" t="s">
        <v>5</v>
      </c>
      <c r="E207" s="3">
        <v>1359</v>
      </c>
      <c r="F207" s="3">
        <f>Merge2[[#This Row],[Coverage]]*100</f>
        <v>80</v>
      </c>
      <c r="G207" s="1">
        <v>0.8</v>
      </c>
      <c r="H207" s="3">
        <v>5097581</v>
      </c>
      <c r="I207" s="2">
        <v>26.659703887000518</v>
      </c>
    </row>
    <row r="208" spans="1:9" x14ac:dyDescent="0.3">
      <c r="A208" s="4" t="s">
        <v>23</v>
      </c>
      <c r="B208" s="3">
        <v>2016</v>
      </c>
      <c r="C208" s="4" t="s">
        <v>22</v>
      </c>
      <c r="D208" s="4" t="s">
        <v>5</v>
      </c>
      <c r="E208" s="3">
        <v>277</v>
      </c>
      <c r="F208" s="3">
        <f>Merge2[[#This Row],[Coverage]]*100</f>
        <v>67</v>
      </c>
      <c r="G208" s="1">
        <v>0.67</v>
      </c>
      <c r="H208" s="3">
        <v>5222536</v>
      </c>
      <c r="I208" s="2">
        <v>5.3039366315521805</v>
      </c>
    </row>
    <row r="209" spans="1:9" x14ac:dyDescent="0.3">
      <c r="A209" s="4" t="s">
        <v>23</v>
      </c>
      <c r="B209" s="3">
        <v>2017</v>
      </c>
      <c r="C209" s="4" t="s">
        <v>22</v>
      </c>
      <c r="D209" s="4" t="s">
        <v>5</v>
      </c>
      <c r="E209" s="3">
        <v>958</v>
      </c>
      <c r="F209" s="3">
        <f>Merge2[[#This Row],[Coverage]]*100</f>
        <v>70</v>
      </c>
      <c r="G209" s="1">
        <v>0.7</v>
      </c>
      <c r="H209" s="3">
        <v>5351011</v>
      </c>
      <c r="I209" s="2">
        <v>17.903158861007761</v>
      </c>
    </row>
    <row r="210" spans="1:9" x14ac:dyDescent="0.3">
      <c r="A210" s="4" t="s">
        <v>23</v>
      </c>
      <c r="B210" s="3">
        <v>2018</v>
      </c>
      <c r="C210" s="4" t="s">
        <v>22</v>
      </c>
      <c r="D210" s="4" t="s">
        <v>5</v>
      </c>
      <c r="E210" s="3">
        <v>28</v>
      </c>
      <c r="F210" s="3">
        <f>Merge2[[#This Row],[Coverage]]*100</f>
        <v>75</v>
      </c>
      <c r="G210" s="1">
        <v>0.75</v>
      </c>
      <c r="H210" s="3">
        <v>5483118</v>
      </c>
      <c r="I210" s="2">
        <v>0.51065835168967733</v>
      </c>
    </row>
    <row r="211" spans="1:9" x14ac:dyDescent="0.3">
      <c r="A211" s="4" t="s">
        <v>23</v>
      </c>
      <c r="B211" s="3">
        <v>2019</v>
      </c>
      <c r="C211" s="4" t="s">
        <v>22</v>
      </c>
      <c r="D211" s="4" t="s">
        <v>5</v>
      </c>
      <c r="E211" s="3">
        <v>66</v>
      </c>
      <c r="F211" s="3">
        <f>Merge2[[#This Row],[Coverage]]*100</f>
        <v>73</v>
      </c>
      <c r="G211" s="1">
        <v>0.73</v>
      </c>
      <c r="H211" s="3">
        <v>5616661</v>
      </c>
      <c r="I211" s="2">
        <v>1.1750753695122422</v>
      </c>
    </row>
    <row r="212" spans="1:9" x14ac:dyDescent="0.3">
      <c r="A212" s="4" t="s">
        <v>23</v>
      </c>
      <c r="B212" s="3">
        <v>2020</v>
      </c>
      <c r="C212" s="4" t="s">
        <v>22</v>
      </c>
      <c r="D212" s="4" t="s">
        <v>5</v>
      </c>
      <c r="E212" s="3">
        <v>37</v>
      </c>
      <c r="F212" s="3">
        <f>Merge2[[#This Row],[Coverage]]*100</f>
        <v>68</v>
      </c>
      <c r="G212" s="1">
        <v>0.68</v>
      </c>
      <c r="H212" s="3">
        <v>5752791</v>
      </c>
      <c r="I212" s="2">
        <v>0.64316607365016387</v>
      </c>
    </row>
    <row r="213" spans="1:9" x14ac:dyDescent="0.3">
      <c r="A213" s="4" t="s">
        <v>23</v>
      </c>
      <c r="B213" s="3">
        <v>2021</v>
      </c>
      <c r="C213" s="4" t="s">
        <v>22</v>
      </c>
      <c r="D213" s="4" t="s">
        <v>5</v>
      </c>
      <c r="E213" s="3">
        <v>160</v>
      </c>
      <c r="F213" s="3">
        <f>Merge2[[#This Row],[Coverage]]*100</f>
        <v>68</v>
      </c>
      <c r="G213" s="1">
        <v>0.68</v>
      </c>
      <c r="H213" s="3">
        <v>5892183</v>
      </c>
      <c r="I213" s="2">
        <v>2.7154621640230796</v>
      </c>
    </row>
    <row r="214" spans="1:9" x14ac:dyDescent="0.3">
      <c r="A214" s="4" t="s">
        <v>23</v>
      </c>
      <c r="B214" s="3">
        <v>2022</v>
      </c>
      <c r="C214" s="4" t="s">
        <v>22</v>
      </c>
      <c r="D214" s="4" t="s">
        <v>5</v>
      </c>
      <c r="E214" s="3">
        <v>6718</v>
      </c>
      <c r="F214" s="3">
        <f>Merge2[[#This Row],[Coverage]]*100</f>
        <v>65</v>
      </c>
      <c r="G214" s="1">
        <v>0.65</v>
      </c>
      <c r="H214" s="3">
        <v>6035104</v>
      </c>
      <c r="I214" s="2">
        <v>111.3153973817187</v>
      </c>
    </row>
    <row r="215" spans="1:9" x14ac:dyDescent="0.3">
      <c r="A215" s="4" t="s">
        <v>23</v>
      </c>
      <c r="B215" s="3">
        <v>2023</v>
      </c>
      <c r="C215" s="4" t="s">
        <v>22</v>
      </c>
      <c r="D215" s="4" t="s">
        <v>5</v>
      </c>
      <c r="E215" s="3">
        <v>385</v>
      </c>
      <c r="F215" s="3">
        <f>Merge2[[#This Row],[Coverage]]*100</f>
        <v>65</v>
      </c>
      <c r="G215" s="1">
        <v>0.65</v>
      </c>
      <c r="H215" s="3">
        <v>6182885</v>
      </c>
      <c r="I215" s="2">
        <v>6.2268665841269888</v>
      </c>
    </row>
    <row r="216" spans="1:9" x14ac:dyDescent="0.3">
      <c r="A216" s="4" t="s">
        <v>23</v>
      </c>
      <c r="B216" s="3">
        <v>2024</v>
      </c>
      <c r="C216" s="4" t="s">
        <v>22</v>
      </c>
      <c r="D216" s="4" t="s">
        <v>5</v>
      </c>
      <c r="E216" s="3">
        <v>483</v>
      </c>
      <c r="F216" s="3">
        <f>Merge2[[#This Row],[Coverage]]*100</f>
        <v>72</v>
      </c>
      <c r="G216" s="1">
        <v>0.72</v>
      </c>
      <c r="H216" s="3">
        <v>6332961</v>
      </c>
      <c r="I216" s="2">
        <v>7.6267641629247365</v>
      </c>
    </row>
    <row r="217" spans="1:9" x14ac:dyDescent="0.3">
      <c r="A217" s="4" t="s">
        <v>17</v>
      </c>
      <c r="B217" s="3">
        <v>2000</v>
      </c>
      <c r="C217" s="4" t="s">
        <v>16</v>
      </c>
      <c r="D217" s="4" t="s">
        <v>5</v>
      </c>
      <c r="E217" s="3">
        <v>5729</v>
      </c>
      <c r="F217" s="3">
        <f>Merge2[[#This Row],[Coverage]]*100</f>
        <v>68</v>
      </c>
      <c r="G217" s="1">
        <v>0.68</v>
      </c>
      <c r="H217" s="3">
        <v>17699004</v>
      </c>
      <c r="I217" s="2">
        <v>32.369053083439049</v>
      </c>
    </row>
    <row r="218" spans="1:9" x14ac:dyDescent="0.3">
      <c r="A218" s="4" t="s">
        <v>17</v>
      </c>
      <c r="B218" s="3">
        <v>2001</v>
      </c>
      <c r="C218" s="4" t="s">
        <v>16</v>
      </c>
      <c r="D218" s="4" t="s">
        <v>5</v>
      </c>
      <c r="E218" s="3">
        <v>5790</v>
      </c>
      <c r="F218" s="3">
        <f>Merge2[[#This Row],[Coverage]]*100</f>
        <v>71</v>
      </c>
      <c r="G218" s="1">
        <v>0.71</v>
      </c>
      <c r="H218" s="3">
        <v>18178913</v>
      </c>
      <c r="I218" s="2">
        <v>31.850089166497469</v>
      </c>
    </row>
    <row r="219" spans="1:9" x14ac:dyDescent="0.3">
      <c r="A219" s="4" t="s">
        <v>17</v>
      </c>
      <c r="B219" s="3">
        <v>2002</v>
      </c>
      <c r="C219" s="4" t="s">
        <v>16</v>
      </c>
      <c r="D219" s="4" t="s">
        <v>5</v>
      </c>
      <c r="E219" s="3">
        <v>5882</v>
      </c>
      <c r="F219" s="3">
        <f>Merge2[[#This Row],[Coverage]]*100</f>
        <v>71</v>
      </c>
      <c r="G219" s="1">
        <v>0.71</v>
      </c>
      <c r="H219" s="3">
        <v>18654771</v>
      </c>
      <c r="I219" s="2">
        <v>31.530807856070709</v>
      </c>
    </row>
    <row r="220" spans="1:9" x14ac:dyDescent="0.3">
      <c r="A220" s="4" t="s">
        <v>17</v>
      </c>
      <c r="B220" s="3">
        <v>2003</v>
      </c>
      <c r="C220" s="4" t="s">
        <v>16</v>
      </c>
      <c r="D220" s="4" t="s">
        <v>5</v>
      </c>
      <c r="E220" s="3">
        <v>4770</v>
      </c>
      <c r="F220" s="3">
        <f>Merge2[[#This Row],[Coverage]]*100</f>
        <v>70</v>
      </c>
      <c r="G220" s="1">
        <v>0.7</v>
      </c>
      <c r="H220" s="3">
        <v>19125542</v>
      </c>
      <c r="I220" s="2">
        <v>24.940469660938238</v>
      </c>
    </row>
    <row r="221" spans="1:9" x14ac:dyDescent="0.3">
      <c r="A221" s="4" t="s">
        <v>17</v>
      </c>
      <c r="B221" s="3">
        <v>2004</v>
      </c>
      <c r="C221" s="4" t="s">
        <v>16</v>
      </c>
      <c r="D221" s="4" t="s">
        <v>5</v>
      </c>
      <c r="E221" s="3">
        <v>3466</v>
      </c>
      <c r="F221" s="3">
        <f>Merge2[[#This Row],[Coverage]]*100</f>
        <v>78</v>
      </c>
      <c r="G221" s="1">
        <v>0.78</v>
      </c>
      <c r="H221" s="3">
        <v>19595000</v>
      </c>
      <c r="I221" s="2">
        <v>17.688185761673896</v>
      </c>
    </row>
    <row r="222" spans="1:9" x14ac:dyDescent="0.3">
      <c r="A222" s="4" t="s">
        <v>17</v>
      </c>
      <c r="B222" s="3">
        <v>2005</v>
      </c>
      <c r="C222" s="4" t="s">
        <v>16</v>
      </c>
      <c r="D222" s="4" t="s">
        <v>5</v>
      </c>
      <c r="E222" s="3">
        <v>115</v>
      </c>
      <c r="F222" s="3">
        <f>Merge2[[#This Row],[Coverage]]*100</f>
        <v>84</v>
      </c>
      <c r="G222" s="1">
        <v>0.84</v>
      </c>
      <c r="H222" s="3">
        <v>20068458</v>
      </c>
      <c r="I222" s="2">
        <v>0.57303854635966545</v>
      </c>
    </row>
    <row r="223" spans="1:9" x14ac:dyDescent="0.3">
      <c r="A223" s="4" t="s">
        <v>17</v>
      </c>
      <c r="B223" s="3">
        <v>2006</v>
      </c>
      <c r="C223" s="4" t="s">
        <v>16</v>
      </c>
      <c r="D223" s="4" t="s">
        <v>5</v>
      </c>
      <c r="E223" s="3">
        <v>11</v>
      </c>
      <c r="F223" s="3">
        <f>Merge2[[#This Row],[Coverage]]*100</f>
        <v>73</v>
      </c>
      <c r="G223" s="1">
        <v>0.73</v>
      </c>
      <c r="H223" s="3">
        <v>20546802</v>
      </c>
      <c r="I223" s="2">
        <v>5.3536311879581071E-2</v>
      </c>
    </row>
    <row r="224" spans="1:9" x14ac:dyDescent="0.3">
      <c r="A224" s="4" t="s">
        <v>17</v>
      </c>
      <c r="B224" s="3">
        <v>2007</v>
      </c>
      <c r="C224" s="4" t="s">
        <v>16</v>
      </c>
      <c r="D224" s="4" t="s">
        <v>5</v>
      </c>
      <c r="E224" s="3">
        <v>5</v>
      </c>
      <c r="F224" s="3">
        <f>Merge2[[#This Row],[Coverage]]*100</f>
        <v>67</v>
      </c>
      <c r="G224" s="1">
        <v>0.67</v>
      </c>
      <c r="H224" s="3">
        <v>21030558</v>
      </c>
      <c r="I224" s="2">
        <v>2.3774927893021193E-2</v>
      </c>
    </row>
    <row r="225" spans="1:9" x14ac:dyDescent="0.3">
      <c r="A225" s="4" t="s">
        <v>17</v>
      </c>
      <c r="B225" s="3">
        <v>2008</v>
      </c>
      <c r="C225" s="4" t="s">
        <v>16</v>
      </c>
      <c r="D225" s="4" t="s">
        <v>5</v>
      </c>
      <c r="E225" s="3">
        <v>12</v>
      </c>
      <c r="F225" s="3">
        <f>Merge2[[#This Row],[Coverage]]*100</f>
        <v>63</v>
      </c>
      <c r="G225" s="1">
        <v>0.63</v>
      </c>
      <c r="H225" s="3">
        <v>21514439</v>
      </c>
      <c r="I225" s="2">
        <v>5.5776495032010827E-2</v>
      </c>
    </row>
    <row r="226" spans="1:9" x14ac:dyDescent="0.3">
      <c r="A226" s="4" t="s">
        <v>17</v>
      </c>
      <c r="B226" s="3">
        <v>2009</v>
      </c>
      <c r="C226" s="4" t="s">
        <v>16</v>
      </c>
      <c r="D226" s="4" t="s">
        <v>5</v>
      </c>
      <c r="E226" s="3">
        <v>183</v>
      </c>
      <c r="F226" s="3">
        <f>Merge2[[#This Row],[Coverage]]*100</f>
        <v>67</v>
      </c>
      <c r="G226" s="1">
        <v>0.67</v>
      </c>
      <c r="H226" s="3">
        <v>21997940</v>
      </c>
      <c r="I226" s="2">
        <v>0.83189607754180617</v>
      </c>
    </row>
    <row r="227" spans="1:9" x14ac:dyDescent="0.3">
      <c r="A227" s="4" t="s">
        <v>17</v>
      </c>
      <c r="B227" s="3">
        <v>2010</v>
      </c>
      <c r="C227" s="4" t="s">
        <v>16</v>
      </c>
      <c r="D227" s="4" t="s">
        <v>5</v>
      </c>
      <c r="E227" s="3">
        <v>441</v>
      </c>
      <c r="F227" s="3">
        <f>Merge2[[#This Row],[Coverage]]*100</f>
        <v>64</v>
      </c>
      <c r="G227" s="1">
        <v>0.64</v>
      </c>
      <c r="H227" s="3">
        <v>22488065</v>
      </c>
      <c r="I227" s="2">
        <v>1.9610402228915649</v>
      </c>
    </row>
    <row r="228" spans="1:9" x14ac:dyDescent="0.3">
      <c r="A228" s="4" t="s">
        <v>17</v>
      </c>
      <c r="B228" s="3">
        <v>2011</v>
      </c>
      <c r="C228" s="4" t="s">
        <v>16</v>
      </c>
      <c r="D228" s="4" t="s">
        <v>5</v>
      </c>
      <c r="E228" s="3">
        <v>628</v>
      </c>
      <c r="F228" s="3">
        <f>Merge2[[#This Row],[Coverage]]*100</f>
        <v>49</v>
      </c>
      <c r="G228" s="1">
        <v>0.49</v>
      </c>
      <c r="H228" s="3">
        <v>22982000</v>
      </c>
      <c r="I228" s="2">
        <v>2.7325733182490644</v>
      </c>
    </row>
    <row r="229" spans="1:9" x14ac:dyDescent="0.3">
      <c r="A229" s="4" t="s">
        <v>17</v>
      </c>
      <c r="B229" s="3">
        <v>2012</v>
      </c>
      <c r="C229" s="4" t="s">
        <v>16</v>
      </c>
      <c r="D229" s="4" t="s">
        <v>5</v>
      </c>
      <c r="E229" s="3">
        <v>137</v>
      </c>
      <c r="F229" s="3">
        <f>Merge2[[#This Row],[Coverage]]*100</f>
        <v>74</v>
      </c>
      <c r="G229" s="1">
        <v>0.74</v>
      </c>
      <c r="H229" s="3">
        <v>23467078</v>
      </c>
      <c r="I229" s="2">
        <v>0.58379658515644772</v>
      </c>
    </row>
    <row r="230" spans="1:9" x14ac:dyDescent="0.3">
      <c r="A230" s="4" t="s">
        <v>17</v>
      </c>
      <c r="B230" s="3">
        <v>2013</v>
      </c>
      <c r="C230" s="4" t="s">
        <v>16</v>
      </c>
      <c r="D230" s="4" t="s">
        <v>5</v>
      </c>
      <c r="E230" s="3">
        <v>48</v>
      </c>
      <c r="F230" s="3">
        <f>Merge2[[#This Row],[Coverage]]*100</f>
        <v>70</v>
      </c>
      <c r="G230" s="1">
        <v>0.7</v>
      </c>
      <c r="H230" s="3">
        <v>23939775</v>
      </c>
      <c r="I230" s="2">
        <v>0.20050313756081664</v>
      </c>
    </row>
    <row r="231" spans="1:9" x14ac:dyDescent="0.3">
      <c r="A231" s="4" t="s">
        <v>17</v>
      </c>
      <c r="B231" s="3">
        <v>2014</v>
      </c>
      <c r="C231" s="4" t="s">
        <v>16</v>
      </c>
      <c r="D231" s="4" t="s">
        <v>5</v>
      </c>
      <c r="E231" s="3">
        <v>50</v>
      </c>
      <c r="F231" s="3">
        <f>Merge2[[#This Row],[Coverage]]*100</f>
        <v>59</v>
      </c>
      <c r="G231" s="1">
        <v>0.59</v>
      </c>
      <c r="H231" s="3">
        <v>24527395</v>
      </c>
      <c r="I231" s="2">
        <v>0.20385369094435019</v>
      </c>
    </row>
    <row r="232" spans="1:9" x14ac:dyDescent="0.3">
      <c r="A232" s="4" t="s">
        <v>17</v>
      </c>
      <c r="B232" s="3">
        <v>2015</v>
      </c>
      <c r="C232" s="4" t="s">
        <v>16</v>
      </c>
      <c r="D232" s="4" t="s">
        <v>5</v>
      </c>
      <c r="E232" s="3">
        <v>65</v>
      </c>
      <c r="F232" s="3">
        <f>Merge2[[#This Row],[Coverage]]*100</f>
        <v>67</v>
      </c>
      <c r="G232" s="1">
        <v>0.67</v>
      </c>
      <c r="H232" s="3">
        <v>25246342</v>
      </c>
      <c r="I232" s="2">
        <v>0.25746304157647865</v>
      </c>
    </row>
    <row r="233" spans="1:9" x14ac:dyDescent="0.3">
      <c r="A233" s="4" t="s">
        <v>17</v>
      </c>
      <c r="B233" s="3">
        <v>2016</v>
      </c>
      <c r="C233" s="4" t="s">
        <v>16</v>
      </c>
      <c r="D233" s="4" t="s">
        <v>5</v>
      </c>
      <c r="E233" s="3">
        <v>45</v>
      </c>
      <c r="F233" s="3">
        <f>Merge2[[#This Row],[Coverage]]*100</f>
        <v>73</v>
      </c>
      <c r="G233" s="1">
        <v>0.73</v>
      </c>
      <c r="H233" s="3">
        <v>25989405</v>
      </c>
      <c r="I233" s="2">
        <v>0.17314748067529825</v>
      </c>
    </row>
    <row r="234" spans="1:9" x14ac:dyDescent="0.3">
      <c r="A234" s="4" t="s">
        <v>17</v>
      </c>
      <c r="B234" s="3">
        <v>2017</v>
      </c>
      <c r="C234" s="4" t="s">
        <v>16</v>
      </c>
      <c r="D234" s="4" t="s">
        <v>5</v>
      </c>
      <c r="E234" s="3">
        <v>163</v>
      </c>
      <c r="F234" s="3">
        <f>Merge2[[#This Row],[Coverage]]*100</f>
        <v>70</v>
      </c>
      <c r="G234" s="1">
        <v>0.7</v>
      </c>
      <c r="H234" s="3">
        <v>26733372</v>
      </c>
      <c r="I234" s="2">
        <v>0.60972480388931105</v>
      </c>
    </row>
    <row r="235" spans="1:9" x14ac:dyDescent="0.3">
      <c r="A235" s="4" t="s">
        <v>17</v>
      </c>
      <c r="B235" s="3">
        <v>2018</v>
      </c>
      <c r="C235" s="4" t="s">
        <v>16</v>
      </c>
      <c r="D235" s="4" t="s">
        <v>5</v>
      </c>
      <c r="E235" s="3">
        <v>453</v>
      </c>
      <c r="F235" s="3">
        <f>Merge2[[#This Row],[Coverage]]*100</f>
        <v>74</v>
      </c>
      <c r="G235" s="1">
        <v>0.74</v>
      </c>
      <c r="H235" s="3">
        <v>27464173</v>
      </c>
      <c r="I235" s="2">
        <v>1.6494215937250321</v>
      </c>
    </row>
    <row r="236" spans="1:9" x14ac:dyDescent="0.3">
      <c r="A236" s="4" t="s">
        <v>17</v>
      </c>
      <c r="B236" s="3">
        <v>2019</v>
      </c>
      <c r="C236" s="4" t="s">
        <v>16</v>
      </c>
      <c r="D236" s="4" t="s">
        <v>5</v>
      </c>
      <c r="E236" s="3">
        <v>372</v>
      </c>
      <c r="F236" s="3">
        <f>Merge2[[#This Row],[Coverage]]*100</f>
        <v>71</v>
      </c>
      <c r="G236" s="1">
        <v>0.71</v>
      </c>
      <c r="H236" s="3">
        <v>28193009</v>
      </c>
      <c r="I236" s="2">
        <v>1.3194760445754479</v>
      </c>
    </row>
    <row r="237" spans="1:9" x14ac:dyDescent="0.3">
      <c r="A237" s="4" t="s">
        <v>17</v>
      </c>
      <c r="B237" s="3">
        <v>2020</v>
      </c>
      <c r="C237" s="4" t="s">
        <v>16</v>
      </c>
      <c r="D237" s="4" t="s">
        <v>5</v>
      </c>
      <c r="E237" s="3">
        <v>600</v>
      </c>
      <c r="F237" s="3">
        <f>Merge2[[#This Row],[Coverage]]*100</f>
        <v>63</v>
      </c>
      <c r="G237" s="1">
        <v>0.63</v>
      </c>
      <c r="H237" s="3">
        <v>28915449</v>
      </c>
      <c r="I237" s="2">
        <v>2.0750153317695328</v>
      </c>
    </row>
    <row r="238" spans="1:9" x14ac:dyDescent="0.3">
      <c r="A238" s="4" t="s">
        <v>17</v>
      </c>
      <c r="B238" s="3">
        <v>2021</v>
      </c>
      <c r="C238" s="4" t="s">
        <v>16</v>
      </c>
      <c r="D238" s="4" t="s">
        <v>5</v>
      </c>
      <c r="E238" s="3">
        <v>1837</v>
      </c>
      <c r="F238" s="3">
        <f>Merge2[[#This Row],[Coverage]]*100</f>
        <v>65</v>
      </c>
      <c r="G238" s="1">
        <v>0.65</v>
      </c>
      <c r="H238" s="3">
        <v>29639736</v>
      </c>
      <c r="I238" s="2">
        <v>6.1977610056985659</v>
      </c>
    </row>
    <row r="239" spans="1:9" x14ac:dyDescent="0.3">
      <c r="A239" s="4" t="s">
        <v>17</v>
      </c>
      <c r="B239" s="3">
        <v>2022</v>
      </c>
      <c r="C239" s="4" t="s">
        <v>16</v>
      </c>
      <c r="D239" s="4" t="s">
        <v>5</v>
      </c>
      <c r="E239" s="3">
        <v>1596</v>
      </c>
      <c r="F239" s="3">
        <f>Merge2[[#This Row],[Coverage]]*100</f>
        <v>62</v>
      </c>
      <c r="G239" s="1">
        <v>0.62</v>
      </c>
      <c r="H239" s="3">
        <v>30395002</v>
      </c>
      <c r="I239" s="2">
        <v>5.2508632833779707</v>
      </c>
    </row>
    <row r="240" spans="1:9" x14ac:dyDescent="0.3">
      <c r="A240" s="4" t="s">
        <v>17</v>
      </c>
      <c r="B240" s="3">
        <v>2023</v>
      </c>
      <c r="C240" s="4" t="s">
        <v>16</v>
      </c>
      <c r="D240" s="4" t="s">
        <v>5</v>
      </c>
      <c r="E240" s="3">
        <v>1361</v>
      </c>
      <c r="F240" s="3">
        <f>Merge2[[#This Row],[Coverage]]*100</f>
        <v>70</v>
      </c>
      <c r="G240" s="1">
        <v>0.7</v>
      </c>
      <c r="H240" s="3">
        <v>31165654</v>
      </c>
      <c r="I240" s="2">
        <v>4.3669868118281743</v>
      </c>
    </row>
    <row r="241" spans="1:9" x14ac:dyDescent="0.3">
      <c r="A241" s="4" t="s">
        <v>17</v>
      </c>
      <c r="B241" s="3">
        <v>2024</v>
      </c>
      <c r="C241" s="4" t="s">
        <v>16</v>
      </c>
      <c r="D241" s="4" t="s">
        <v>5</v>
      </c>
      <c r="E241" s="3">
        <v>1872</v>
      </c>
      <c r="F241" s="3">
        <f>Merge2[[#This Row],[Coverage]]*100</f>
        <v>75</v>
      </c>
      <c r="G241" s="1">
        <v>0.75</v>
      </c>
      <c r="H241" s="3">
        <v>31934230</v>
      </c>
      <c r="I241" s="2">
        <v>5.8620483412313371</v>
      </c>
    </row>
    <row r="242" spans="1:9" x14ac:dyDescent="0.3">
      <c r="A242" s="4" t="s">
        <v>21</v>
      </c>
      <c r="B242" s="3">
        <v>2000</v>
      </c>
      <c r="C242" s="4" t="s">
        <v>20</v>
      </c>
      <c r="D242" s="4" t="s">
        <v>5</v>
      </c>
      <c r="E242" s="3">
        <v>8282</v>
      </c>
      <c r="F242" s="3">
        <f>Merge2[[#This Row],[Coverage]]*100</f>
        <v>26</v>
      </c>
      <c r="G242" s="1">
        <v>0.26</v>
      </c>
      <c r="H242" s="3">
        <v>50507442</v>
      </c>
      <c r="I242" s="2">
        <v>16.397583548182858</v>
      </c>
    </row>
    <row r="243" spans="1:9" x14ac:dyDescent="0.3">
      <c r="A243" s="4" t="s">
        <v>21</v>
      </c>
      <c r="B243" s="3">
        <v>2001</v>
      </c>
      <c r="C243" s="4" t="s">
        <v>20</v>
      </c>
      <c r="D243" s="4" t="s">
        <v>5</v>
      </c>
      <c r="E243" s="3">
        <v>8072</v>
      </c>
      <c r="F243" s="3">
        <f>Merge2[[#This Row],[Coverage]]*100</f>
        <v>34</v>
      </c>
      <c r="G243" s="1">
        <v>0.34</v>
      </c>
      <c r="H243" s="3">
        <v>52132646</v>
      </c>
      <c r="I243" s="2">
        <v>15.483580096816878</v>
      </c>
    </row>
    <row r="244" spans="1:9" x14ac:dyDescent="0.3">
      <c r="A244" s="4" t="s">
        <v>21</v>
      </c>
      <c r="B244" s="3">
        <v>2002</v>
      </c>
      <c r="C244" s="4" t="s">
        <v>20</v>
      </c>
      <c r="D244" s="4" t="s">
        <v>5</v>
      </c>
      <c r="E244" s="3">
        <v>30466</v>
      </c>
      <c r="F244" s="3">
        <f>Merge2[[#This Row],[Coverage]]*100</f>
        <v>41</v>
      </c>
      <c r="G244" s="1">
        <v>0.41</v>
      </c>
      <c r="H244" s="3">
        <v>53750524</v>
      </c>
      <c r="I244" s="2">
        <v>56.680377664783322</v>
      </c>
    </row>
    <row r="245" spans="1:9" x14ac:dyDescent="0.3">
      <c r="A245" s="4" t="s">
        <v>21</v>
      </c>
      <c r="B245" s="3">
        <v>2003</v>
      </c>
      <c r="C245" s="4" t="s">
        <v>20</v>
      </c>
      <c r="D245" s="4" t="s">
        <v>5</v>
      </c>
      <c r="E245" s="3">
        <v>21956</v>
      </c>
      <c r="F245" s="3">
        <f>Merge2[[#This Row],[Coverage]]*100</f>
        <v>48</v>
      </c>
      <c r="G245" s="1">
        <v>0.48</v>
      </c>
      <c r="H245" s="3">
        <v>55343867</v>
      </c>
      <c r="I245" s="2">
        <v>39.671965820530758</v>
      </c>
    </row>
    <row r="246" spans="1:9" x14ac:dyDescent="0.3">
      <c r="A246" s="4" t="s">
        <v>21</v>
      </c>
      <c r="B246" s="3">
        <v>2004</v>
      </c>
      <c r="C246" s="4" t="s">
        <v>20</v>
      </c>
      <c r="D246" s="4" t="s">
        <v>5</v>
      </c>
      <c r="E246" s="3">
        <v>44934</v>
      </c>
      <c r="F246" s="3">
        <f>Merge2[[#This Row],[Coverage]]*100</f>
        <v>56.999999999999993</v>
      </c>
      <c r="G246" s="1">
        <v>0.56999999999999995</v>
      </c>
      <c r="H246" s="3">
        <v>56997741</v>
      </c>
      <c r="I246" s="2">
        <v>78.834703291135696</v>
      </c>
    </row>
    <row r="247" spans="1:9" x14ac:dyDescent="0.3">
      <c r="A247" s="4" t="s">
        <v>21</v>
      </c>
      <c r="B247" s="3">
        <v>2005</v>
      </c>
      <c r="C247" s="4" t="s">
        <v>20</v>
      </c>
      <c r="D247" s="4" t="s">
        <v>5</v>
      </c>
      <c r="E247" s="3">
        <v>182485</v>
      </c>
      <c r="F247" s="3">
        <f>Merge2[[#This Row],[Coverage]]*100</f>
        <v>61</v>
      </c>
      <c r="G247" s="1">
        <v>0.61</v>
      </c>
      <c r="H247" s="3">
        <v>58775724</v>
      </c>
      <c r="I247" s="2">
        <v>310.47682202944873</v>
      </c>
    </row>
    <row r="248" spans="1:9" x14ac:dyDescent="0.3">
      <c r="A248" s="4" t="s">
        <v>21</v>
      </c>
      <c r="B248" s="3">
        <v>2006</v>
      </c>
      <c r="C248" s="4" t="s">
        <v>20</v>
      </c>
      <c r="D248" s="4" t="s">
        <v>5</v>
      </c>
      <c r="E248" s="3">
        <v>80123</v>
      </c>
      <c r="F248" s="3">
        <f>Merge2[[#This Row],[Coverage]]*100</f>
        <v>63</v>
      </c>
      <c r="G248" s="1">
        <v>0.63</v>
      </c>
      <c r="H248" s="3">
        <v>60615908</v>
      </c>
      <c r="I248" s="2">
        <v>132.18147288992188</v>
      </c>
    </row>
    <row r="249" spans="1:9" x14ac:dyDescent="0.3">
      <c r="A249" s="4" t="s">
        <v>21</v>
      </c>
      <c r="B249" s="3">
        <v>2007</v>
      </c>
      <c r="C249" s="4" t="s">
        <v>20</v>
      </c>
      <c r="D249" s="4" t="s">
        <v>5</v>
      </c>
      <c r="E249" s="3">
        <v>55577</v>
      </c>
      <c r="F249" s="3">
        <f>Merge2[[#This Row],[Coverage]]*100</f>
        <v>64</v>
      </c>
      <c r="G249" s="1">
        <v>0.64</v>
      </c>
      <c r="H249" s="3">
        <v>62477752</v>
      </c>
      <c r="I249" s="2">
        <v>88.954865085414724</v>
      </c>
    </row>
    <row r="250" spans="1:9" x14ac:dyDescent="0.3">
      <c r="A250" s="4" t="s">
        <v>21</v>
      </c>
      <c r="B250" s="3">
        <v>2008</v>
      </c>
      <c r="C250" s="4" t="s">
        <v>20</v>
      </c>
      <c r="D250" s="4" t="s">
        <v>5</v>
      </c>
      <c r="E250" s="3">
        <v>12461</v>
      </c>
      <c r="F250" s="3">
        <f>Merge2[[#This Row],[Coverage]]*100</f>
        <v>64</v>
      </c>
      <c r="G250" s="1">
        <v>0.64</v>
      </c>
      <c r="H250" s="3">
        <v>64390664</v>
      </c>
      <c r="I250" s="2">
        <v>19.352184347718481</v>
      </c>
    </row>
    <row r="251" spans="1:9" x14ac:dyDescent="0.3">
      <c r="A251" s="4" t="s">
        <v>21</v>
      </c>
      <c r="B251" s="3">
        <v>2009</v>
      </c>
      <c r="C251" s="4" t="s">
        <v>20</v>
      </c>
      <c r="D251" s="4" t="s">
        <v>5</v>
      </c>
      <c r="E251" s="3">
        <v>57</v>
      </c>
      <c r="F251" s="3">
        <f>Merge2[[#This Row],[Coverage]]*100</f>
        <v>65</v>
      </c>
      <c r="G251" s="1">
        <v>0.65</v>
      </c>
      <c r="H251" s="3">
        <v>66412044</v>
      </c>
      <c r="I251" s="2">
        <v>8.5827805570929269E-2</v>
      </c>
    </row>
    <row r="252" spans="1:9" x14ac:dyDescent="0.3">
      <c r="A252" s="4" t="s">
        <v>21</v>
      </c>
      <c r="B252" s="3">
        <v>2010</v>
      </c>
      <c r="C252" s="4" t="s">
        <v>20</v>
      </c>
      <c r="D252" s="4" t="s">
        <v>5</v>
      </c>
      <c r="E252" s="3">
        <v>5407</v>
      </c>
      <c r="F252" s="3">
        <f>Merge2[[#This Row],[Coverage]]*100</f>
        <v>66</v>
      </c>
      <c r="G252" s="1">
        <v>0.66</v>
      </c>
      <c r="H252" s="3">
        <v>68563038</v>
      </c>
      <c r="I252" s="2">
        <v>7.8861733052143936</v>
      </c>
    </row>
    <row r="253" spans="1:9" x14ac:dyDescent="0.3">
      <c r="A253" s="4" t="s">
        <v>21</v>
      </c>
      <c r="B253" s="3">
        <v>2011</v>
      </c>
      <c r="C253" s="4" t="s">
        <v>20</v>
      </c>
      <c r="D253" s="4" t="s">
        <v>5</v>
      </c>
      <c r="E253" s="3">
        <v>133802</v>
      </c>
      <c r="F253" s="3">
        <f>Merge2[[#This Row],[Coverage]]*100</f>
        <v>66</v>
      </c>
      <c r="G253" s="1">
        <v>0.66</v>
      </c>
      <c r="H253" s="3">
        <v>70849311</v>
      </c>
      <c r="I253" s="2">
        <v>188.8543418580316</v>
      </c>
    </row>
    <row r="254" spans="1:9" x14ac:dyDescent="0.3">
      <c r="A254" s="4" t="s">
        <v>21</v>
      </c>
      <c r="B254" s="3">
        <v>2012</v>
      </c>
      <c r="C254" s="4" t="s">
        <v>20</v>
      </c>
      <c r="D254" s="4" t="s">
        <v>5</v>
      </c>
      <c r="E254" s="3">
        <v>72029</v>
      </c>
      <c r="F254" s="3">
        <f>Merge2[[#This Row],[Coverage]]*100</f>
        <v>69</v>
      </c>
      <c r="G254" s="1">
        <v>0.69</v>
      </c>
      <c r="H254" s="3">
        <v>73254618</v>
      </c>
      <c r="I254" s="2">
        <v>98.326906844289326</v>
      </c>
    </row>
    <row r="255" spans="1:9" x14ac:dyDescent="0.3">
      <c r="A255" s="4" t="s">
        <v>21</v>
      </c>
      <c r="B255" s="3">
        <v>2013</v>
      </c>
      <c r="C255" s="4" t="s">
        <v>20</v>
      </c>
      <c r="D255" s="4" t="s">
        <v>5</v>
      </c>
      <c r="E255" s="3">
        <v>88381</v>
      </c>
      <c r="F255" s="3">
        <f>Merge2[[#This Row],[Coverage]]*100</f>
        <v>68</v>
      </c>
      <c r="G255" s="1">
        <v>0.68</v>
      </c>
      <c r="H255" s="3">
        <v>75789395</v>
      </c>
      <c r="I255" s="2">
        <v>116.61394051238963</v>
      </c>
    </row>
    <row r="256" spans="1:9" x14ac:dyDescent="0.3">
      <c r="A256" s="4" t="s">
        <v>21</v>
      </c>
      <c r="B256" s="3">
        <v>2014</v>
      </c>
      <c r="C256" s="4" t="s">
        <v>20</v>
      </c>
      <c r="D256" s="4" t="s">
        <v>5</v>
      </c>
      <c r="E256" s="3">
        <v>33711</v>
      </c>
      <c r="F256" s="3">
        <f>Merge2[[#This Row],[Coverage]]*100</f>
        <v>69</v>
      </c>
      <c r="G256" s="1">
        <v>0.69</v>
      </c>
      <c r="H256" s="3">
        <v>78403242</v>
      </c>
      <c r="I256" s="2">
        <v>42.996946478310171</v>
      </c>
    </row>
    <row r="257" spans="1:9" x14ac:dyDescent="0.3">
      <c r="A257" s="4" t="s">
        <v>21</v>
      </c>
      <c r="B257" s="3">
        <v>2015</v>
      </c>
      <c r="C257" s="4" t="s">
        <v>20</v>
      </c>
      <c r="D257" s="4" t="s">
        <v>5</v>
      </c>
      <c r="E257" s="3">
        <v>5020</v>
      </c>
      <c r="F257" s="3">
        <f>Merge2[[#This Row],[Coverage]]*100</f>
        <v>65</v>
      </c>
      <c r="G257" s="1">
        <v>0.65</v>
      </c>
      <c r="H257" s="3">
        <v>81035531</v>
      </c>
      <c r="I257" s="2">
        <v>6.1948134824957215</v>
      </c>
    </row>
    <row r="258" spans="1:9" x14ac:dyDescent="0.3">
      <c r="A258" s="4" t="s">
        <v>21</v>
      </c>
      <c r="B258" s="3">
        <v>2016</v>
      </c>
      <c r="C258" s="4" t="s">
        <v>20</v>
      </c>
      <c r="D258" s="4" t="s">
        <v>5</v>
      </c>
      <c r="E258" s="3">
        <v>5092</v>
      </c>
      <c r="F258" s="3">
        <f>Merge2[[#This Row],[Coverage]]*100</f>
        <v>63</v>
      </c>
      <c r="G258" s="1">
        <v>0.63</v>
      </c>
      <c r="H258" s="3">
        <v>83956415</v>
      </c>
      <c r="I258" s="2">
        <v>6.0650517295194177</v>
      </c>
    </row>
    <row r="259" spans="1:9" x14ac:dyDescent="0.3">
      <c r="A259" s="4" t="s">
        <v>21</v>
      </c>
      <c r="B259" s="3">
        <v>2017</v>
      </c>
      <c r="C259" s="4" t="s">
        <v>20</v>
      </c>
      <c r="D259" s="4" t="s">
        <v>5</v>
      </c>
      <c r="E259" s="3">
        <v>45107</v>
      </c>
      <c r="F259" s="3">
        <f>Merge2[[#This Row],[Coverage]]*100</f>
        <v>65</v>
      </c>
      <c r="G259" s="1">
        <v>0.65</v>
      </c>
      <c r="H259" s="3">
        <v>87083398</v>
      </c>
      <c r="I259" s="2">
        <v>51.79747349776131</v>
      </c>
    </row>
    <row r="260" spans="1:9" x14ac:dyDescent="0.3">
      <c r="A260" s="4" t="s">
        <v>21</v>
      </c>
      <c r="B260" s="3">
        <v>2018</v>
      </c>
      <c r="C260" s="4" t="s">
        <v>20</v>
      </c>
      <c r="D260" s="4" t="s">
        <v>5</v>
      </c>
      <c r="E260" s="3">
        <v>69693</v>
      </c>
      <c r="F260" s="3">
        <f>Merge2[[#This Row],[Coverage]]*100</f>
        <v>64</v>
      </c>
      <c r="G260" s="1">
        <v>0.64</v>
      </c>
      <c r="H260" s="3">
        <v>90047644</v>
      </c>
      <c r="I260" s="2">
        <v>77.395695105582107</v>
      </c>
    </row>
    <row r="261" spans="1:9" x14ac:dyDescent="0.3">
      <c r="A261" s="4" t="s">
        <v>21</v>
      </c>
      <c r="B261" s="3">
        <v>2019</v>
      </c>
      <c r="C261" s="4" t="s">
        <v>20</v>
      </c>
      <c r="D261" s="4" t="s">
        <v>5</v>
      </c>
      <c r="E261" s="3">
        <v>333017</v>
      </c>
      <c r="F261" s="3">
        <f>Merge2[[#This Row],[Coverage]]*100</f>
        <v>65</v>
      </c>
      <c r="G261" s="1">
        <v>0.65</v>
      </c>
      <c r="H261" s="3">
        <v>92947442</v>
      </c>
      <c r="I261" s="2">
        <v>358.28527696329718</v>
      </c>
    </row>
    <row r="262" spans="1:9" x14ac:dyDescent="0.3">
      <c r="A262" s="4" t="s">
        <v>21</v>
      </c>
      <c r="B262" s="3">
        <v>2020</v>
      </c>
      <c r="C262" s="4" t="s">
        <v>20</v>
      </c>
      <c r="D262" s="4" t="s">
        <v>5</v>
      </c>
      <c r="E262" s="3">
        <v>82290</v>
      </c>
      <c r="F262" s="3">
        <f>Merge2[[#This Row],[Coverage]]*100</f>
        <v>62</v>
      </c>
      <c r="G262" s="1">
        <v>0.62</v>
      </c>
      <c r="H262" s="3">
        <v>95989998</v>
      </c>
      <c r="I262" s="2">
        <v>85.727681752842628</v>
      </c>
    </row>
    <row r="263" spans="1:9" x14ac:dyDescent="0.3">
      <c r="A263" s="4" t="s">
        <v>21</v>
      </c>
      <c r="B263" s="3">
        <v>2021</v>
      </c>
      <c r="C263" s="4" t="s">
        <v>20</v>
      </c>
      <c r="D263" s="4" t="s">
        <v>5</v>
      </c>
      <c r="E263" s="3">
        <v>54471</v>
      </c>
      <c r="F263" s="3">
        <f>Merge2[[#This Row],[Coverage]]*100</f>
        <v>55.000000000000007</v>
      </c>
      <c r="G263" s="1">
        <v>0.55000000000000004</v>
      </c>
      <c r="H263" s="3">
        <v>99148932</v>
      </c>
      <c r="I263" s="2">
        <v>54.9385645424804</v>
      </c>
    </row>
    <row r="264" spans="1:9" x14ac:dyDescent="0.3">
      <c r="A264" s="4" t="s">
        <v>21</v>
      </c>
      <c r="B264" s="3">
        <v>2022</v>
      </c>
      <c r="C264" s="4" t="s">
        <v>20</v>
      </c>
      <c r="D264" s="4" t="s">
        <v>5</v>
      </c>
      <c r="E264" s="3">
        <v>4380</v>
      </c>
      <c r="F264" s="3">
        <f>Merge2[[#This Row],[Coverage]]*100</f>
        <v>56.000000000000007</v>
      </c>
      <c r="G264" s="1">
        <v>0.56000000000000005</v>
      </c>
      <c r="H264" s="3">
        <v>102396968</v>
      </c>
      <c r="I264" s="2">
        <v>4.2774704032252204</v>
      </c>
    </row>
    <row r="265" spans="1:9" x14ac:dyDescent="0.3">
      <c r="A265" s="4" t="s">
        <v>21</v>
      </c>
      <c r="B265" s="3">
        <v>2023</v>
      </c>
      <c r="C265" s="4" t="s">
        <v>20</v>
      </c>
      <c r="D265" s="4" t="s">
        <v>5</v>
      </c>
      <c r="E265" s="3">
        <v>311500</v>
      </c>
      <c r="F265" s="3">
        <f>Merge2[[#This Row],[Coverage]]*100</f>
        <v>52</v>
      </c>
      <c r="G265" s="1">
        <v>0.52</v>
      </c>
      <c r="H265" s="3">
        <v>105789731</v>
      </c>
      <c r="I265" s="2">
        <v>294.45202011147944</v>
      </c>
    </row>
    <row r="266" spans="1:9" x14ac:dyDescent="0.3">
      <c r="A266" s="4" t="s">
        <v>21</v>
      </c>
      <c r="B266" s="3">
        <v>2024</v>
      </c>
      <c r="C266" s="4" t="s">
        <v>20</v>
      </c>
      <c r="D266" s="4" t="s">
        <v>5</v>
      </c>
      <c r="E266" s="3">
        <v>109419</v>
      </c>
      <c r="F266" s="3">
        <f>Merge2[[#This Row],[Coverage]]*100</f>
        <v>55.000000000000007</v>
      </c>
      <c r="G266" s="1">
        <v>0.55000000000000004</v>
      </c>
      <c r="H266" s="3">
        <v>109276265</v>
      </c>
      <c r="I266" s="2">
        <v>100.13061848334587</v>
      </c>
    </row>
    <row r="267" spans="1:9" x14ac:dyDescent="0.3">
      <c r="A267" s="4" t="s">
        <v>25</v>
      </c>
      <c r="B267" s="3">
        <v>2015</v>
      </c>
      <c r="C267" s="4" t="s">
        <v>24</v>
      </c>
      <c r="D267" s="4" t="s">
        <v>5</v>
      </c>
      <c r="E267" s="3">
        <v>0</v>
      </c>
      <c r="F267" s="3">
        <f>Merge2[[#This Row],[Coverage]]*100</f>
        <v>81</v>
      </c>
      <c r="G267" s="1">
        <v>0.81</v>
      </c>
      <c r="H267" s="3">
        <v>726682</v>
      </c>
      <c r="I267" s="2">
        <v>0</v>
      </c>
    </row>
    <row r="268" spans="1:9" x14ac:dyDescent="0.3">
      <c r="A268" s="4" t="s">
        <v>25</v>
      </c>
      <c r="B268" s="3">
        <v>2016</v>
      </c>
      <c r="C268" s="4" t="s">
        <v>24</v>
      </c>
      <c r="D268" s="4" t="s">
        <v>5</v>
      </c>
      <c r="E268" s="3">
        <v>0</v>
      </c>
      <c r="F268" s="3">
        <f>Merge2[[#This Row],[Coverage]]*100</f>
        <v>77</v>
      </c>
      <c r="G268" s="1">
        <v>0.77</v>
      </c>
      <c r="H268" s="3">
        <v>741741</v>
      </c>
      <c r="I268" s="2">
        <v>0</v>
      </c>
    </row>
    <row r="269" spans="1:9" x14ac:dyDescent="0.3">
      <c r="A269" s="4" t="s">
        <v>25</v>
      </c>
      <c r="B269" s="3">
        <v>2017</v>
      </c>
      <c r="C269" s="4" t="s">
        <v>24</v>
      </c>
      <c r="D269" s="4" t="s">
        <v>5</v>
      </c>
      <c r="E269" s="3">
        <v>0</v>
      </c>
      <c r="F269" s="3">
        <f>Merge2[[#This Row],[Coverage]]*100</f>
        <v>75</v>
      </c>
      <c r="G269" s="1">
        <v>0.75</v>
      </c>
      <c r="H269" s="3">
        <v>756669</v>
      </c>
      <c r="I269" s="2">
        <v>0</v>
      </c>
    </row>
    <row r="270" spans="1:9" x14ac:dyDescent="0.3">
      <c r="A270" s="4" t="s">
        <v>25</v>
      </c>
      <c r="B270" s="3">
        <v>2018</v>
      </c>
      <c r="C270" s="4" t="s">
        <v>24</v>
      </c>
      <c r="D270" s="4" t="s">
        <v>5</v>
      </c>
      <c r="E270" s="3">
        <v>0</v>
      </c>
      <c r="F270" s="3">
        <f>Merge2[[#This Row],[Coverage]]*100</f>
        <v>74</v>
      </c>
      <c r="G270" s="1">
        <v>0.74</v>
      </c>
      <c r="H270" s="3">
        <v>771590</v>
      </c>
      <c r="I270" s="2">
        <v>0</v>
      </c>
    </row>
    <row r="271" spans="1:9" x14ac:dyDescent="0.3">
      <c r="A271" s="4" t="s">
        <v>25</v>
      </c>
      <c r="B271" s="3">
        <v>2019</v>
      </c>
      <c r="C271" s="4" t="s">
        <v>24</v>
      </c>
      <c r="D271" s="4" t="s">
        <v>5</v>
      </c>
      <c r="E271" s="3">
        <v>65</v>
      </c>
      <c r="F271" s="3">
        <f>Merge2[[#This Row],[Coverage]]*100</f>
        <v>76</v>
      </c>
      <c r="G271" s="1">
        <v>0.76</v>
      </c>
      <c r="H271" s="3">
        <v>786578</v>
      </c>
      <c r="I271" s="2">
        <v>8.2636432750471016</v>
      </c>
    </row>
    <row r="272" spans="1:9" x14ac:dyDescent="0.3">
      <c r="A272" s="4" t="s">
        <v>25</v>
      </c>
      <c r="B272" s="3">
        <v>2020</v>
      </c>
      <c r="C272" s="4" t="s">
        <v>24</v>
      </c>
      <c r="D272" s="4" t="s">
        <v>5</v>
      </c>
      <c r="E272" s="3">
        <v>0</v>
      </c>
      <c r="F272" s="3">
        <f>Merge2[[#This Row],[Coverage]]*100</f>
        <v>75</v>
      </c>
      <c r="G272" s="1">
        <v>0.75</v>
      </c>
      <c r="H272" s="3">
        <v>802163</v>
      </c>
      <c r="I272" s="2">
        <v>0</v>
      </c>
    </row>
    <row r="273" spans="1:9" x14ac:dyDescent="0.3">
      <c r="A273" s="4" t="s">
        <v>25</v>
      </c>
      <c r="B273" s="3">
        <v>2021</v>
      </c>
      <c r="C273" s="4" t="s">
        <v>24</v>
      </c>
      <c r="D273" s="4" t="s">
        <v>5</v>
      </c>
      <c r="E273" s="3">
        <v>0</v>
      </c>
      <c r="F273" s="3">
        <f>Merge2[[#This Row],[Coverage]]*100</f>
        <v>68</v>
      </c>
      <c r="G273" s="1">
        <v>0.68</v>
      </c>
      <c r="H273" s="3">
        <v>818174</v>
      </c>
      <c r="I273" s="2">
        <v>0</v>
      </c>
    </row>
    <row r="274" spans="1:9" x14ac:dyDescent="0.3">
      <c r="A274" s="4" t="s">
        <v>25</v>
      </c>
      <c r="B274" s="3">
        <v>2022</v>
      </c>
      <c r="C274" s="4" t="s">
        <v>24</v>
      </c>
      <c r="D274" s="4" t="s">
        <v>5</v>
      </c>
      <c r="E274" s="3">
        <v>4</v>
      </c>
      <c r="F274" s="3">
        <f>Merge2[[#This Row],[Coverage]]*100</f>
        <v>71</v>
      </c>
      <c r="G274" s="1">
        <v>0.71</v>
      </c>
      <c r="H274" s="3">
        <v>834188</v>
      </c>
      <c r="I274" s="2">
        <v>0.47950821637328755</v>
      </c>
    </row>
    <row r="275" spans="1:9" x14ac:dyDescent="0.3">
      <c r="A275" s="4" t="s">
        <v>25</v>
      </c>
      <c r="B275" s="3">
        <v>2023</v>
      </c>
      <c r="C275" s="4" t="s">
        <v>24</v>
      </c>
      <c r="D275" s="4" t="s">
        <v>5</v>
      </c>
      <c r="E275" s="3">
        <v>51</v>
      </c>
      <c r="F275" s="3">
        <f>Merge2[[#This Row],[Coverage]]*100</f>
        <v>70</v>
      </c>
      <c r="G275" s="1">
        <v>0.7</v>
      </c>
      <c r="H275" s="3">
        <v>850387</v>
      </c>
      <c r="I275" s="2">
        <v>5.9972694784845011</v>
      </c>
    </row>
    <row r="276" spans="1:9" x14ac:dyDescent="0.3">
      <c r="A276" s="4" t="s">
        <v>25</v>
      </c>
      <c r="B276" s="3">
        <v>2024</v>
      </c>
      <c r="C276" s="4" t="s">
        <v>24</v>
      </c>
      <c r="D276" s="4" t="s">
        <v>5</v>
      </c>
      <c r="E276" s="3">
        <v>17</v>
      </c>
      <c r="F276" s="3">
        <f>Merge2[[#This Row],[Coverage]]*100</f>
        <v>70</v>
      </c>
      <c r="G276" s="1">
        <v>0.7</v>
      </c>
      <c r="H276" s="3">
        <v>866628</v>
      </c>
      <c r="I276" s="2">
        <v>1.9616259802360414</v>
      </c>
    </row>
    <row r="277" spans="1:9" x14ac:dyDescent="0.3">
      <c r="A277" s="4" t="s">
        <v>27</v>
      </c>
      <c r="B277" s="3">
        <v>2000</v>
      </c>
      <c r="C277" s="4" t="s">
        <v>26</v>
      </c>
      <c r="D277" s="4" t="s">
        <v>5</v>
      </c>
      <c r="E277" s="3">
        <v>2</v>
      </c>
      <c r="F277" s="3">
        <f>Merge2[[#This Row],[Coverage]]*100</f>
        <v>86</v>
      </c>
      <c r="G277" s="1">
        <v>0.86</v>
      </c>
      <c r="H277" s="3">
        <v>453317</v>
      </c>
      <c r="I277" s="2">
        <v>0.44119236648967497</v>
      </c>
    </row>
    <row r="278" spans="1:9" x14ac:dyDescent="0.3">
      <c r="A278" s="4" t="s">
        <v>27</v>
      </c>
      <c r="B278" s="3">
        <v>2001</v>
      </c>
      <c r="C278" s="4" t="s">
        <v>26</v>
      </c>
      <c r="D278" s="4" t="s">
        <v>5</v>
      </c>
      <c r="E278" s="3">
        <v>0</v>
      </c>
      <c r="F278" s="3">
        <f>Merge2[[#This Row],[Coverage]]*100</f>
        <v>88</v>
      </c>
      <c r="G278" s="1">
        <v>0.88</v>
      </c>
      <c r="H278" s="3">
        <v>460293</v>
      </c>
      <c r="I278" s="2">
        <v>0</v>
      </c>
    </row>
    <row r="279" spans="1:9" x14ac:dyDescent="0.3">
      <c r="A279" s="4" t="s">
        <v>27</v>
      </c>
      <c r="B279" s="3">
        <v>2002</v>
      </c>
      <c r="C279" s="4" t="s">
        <v>26</v>
      </c>
      <c r="D279" s="4" t="s">
        <v>5</v>
      </c>
      <c r="E279" s="3">
        <v>0</v>
      </c>
      <c r="F279" s="3">
        <f>Merge2[[#This Row],[Coverage]]*100</f>
        <v>89</v>
      </c>
      <c r="G279" s="1">
        <v>0.89</v>
      </c>
      <c r="H279" s="3">
        <v>467046</v>
      </c>
      <c r="I279" s="2">
        <v>0</v>
      </c>
    </row>
    <row r="280" spans="1:9" x14ac:dyDescent="0.3">
      <c r="A280" s="4" t="s">
        <v>27</v>
      </c>
      <c r="B280" s="3">
        <v>2003</v>
      </c>
      <c r="C280" s="4" t="s">
        <v>26</v>
      </c>
      <c r="D280" s="4" t="s">
        <v>5</v>
      </c>
      <c r="E280" s="3">
        <v>0</v>
      </c>
      <c r="F280" s="3">
        <f>Merge2[[#This Row],[Coverage]]*100</f>
        <v>90</v>
      </c>
      <c r="G280" s="1">
        <v>0.9</v>
      </c>
      <c r="H280" s="3">
        <v>473383</v>
      </c>
      <c r="I280" s="2">
        <v>0</v>
      </c>
    </row>
    <row r="281" spans="1:9" x14ac:dyDescent="0.3">
      <c r="A281" s="4" t="s">
        <v>27</v>
      </c>
      <c r="B281" s="3">
        <v>2004</v>
      </c>
      <c r="C281" s="4" t="s">
        <v>26</v>
      </c>
      <c r="D281" s="4" t="s">
        <v>5</v>
      </c>
      <c r="E281" s="3">
        <v>0</v>
      </c>
      <c r="F281" s="3">
        <f>Merge2[[#This Row],[Coverage]]*100</f>
        <v>91</v>
      </c>
      <c r="G281" s="1">
        <v>0.91</v>
      </c>
      <c r="H281" s="3">
        <v>479370</v>
      </c>
      <c r="I281" s="2">
        <v>0</v>
      </c>
    </row>
    <row r="282" spans="1:9" x14ac:dyDescent="0.3">
      <c r="A282" s="4" t="s">
        <v>27</v>
      </c>
      <c r="B282" s="3">
        <v>2005</v>
      </c>
      <c r="C282" s="4" t="s">
        <v>26</v>
      </c>
      <c r="D282" s="4" t="s">
        <v>5</v>
      </c>
      <c r="E282" s="3">
        <v>0</v>
      </c>
      <c r="F282" s="3">
        <f>Merge2[[#This Row],[Coverage]]*100</f>
        <v>93</v>
      </c>
      <c r="G282" s="1">
        <v>0.93</v>
      </c>
      <c r="H282" s="3">
        <v>485115</v>
      </c>
      <c r="I282" s="2">
        <v>0</v>
      </c>
    </row>
    <row r="283" spans="1:9" x14ac:dyDescent="0.3">
      <c r="A283" s="4" t="s">
        <v>27</v>
      </c>
      <c r="B283" s="3">
        <v>2006</v>
      </c>
      <c r="C283" s="4" t="s">
        <v>26</v>
      </c>
      <c r="D283" s="4" t="s">
        <v>5</v>
      </c>
      <c r="E283" s="3">
        <v>0</v>
      </c>
      <c r="F283" s="3">
        <f>Merge2[[#This Row],[Coverage]]*100</f>
        <v>94</v>
      </c>
      <c r="G283" s="1">
        <v>0.94</v>
      </c>
      <c r="H283" s="3">
        <v>490728</v>
      </c>
      <c r="I283" s="2">
        <v>0</v>
      </c>
    </row>
    <row r="284" spans="1:9" x14ac:dyDescent="0.3">
      <c r="A284" s="4" t="s">
        <v>27</v>
      </c>
      <c r="B284" s="3">
        <v>2007</v>
      </c>
      <c r="C284" s="4" t="s">
        <v>26</v>
      </c>
      <c r="D284" s="4" t="s">
        <v>5</v>
      </c>
      <c r="E284" s="3">
        <v>0</v>
      </c>
      <c r="F284" s="3">
        <f>Merge2[[#This Row],[Coverage]]*100</f>
        <v>96</v>
      </c>
      <c r="G284" s="1">
        <v>0.96</v>
      </c>
      <c r="H284" s="3">
        <v>496190</v>
      </c>
      <c r="I284" s="2">
        <v>0</v>
      </c>
    </row>
    <row r="285" spans="1:9" x14ac:dyDescent="0.3">
      <c r="A285" s="4" t="s">
        <v>27</v>
      </c>
      <c r="B285" s="3">
        <v>2008</v>
      </c>
      <c r="C285" s="4" t="s">
        <v>26</v>
      </c>
      <c r="D285" s="4" t="s">
        <v>5</v>
      </c>
      <c r="E285" s="3">
        <v>0</v>
      </c>
      <c r="F285" s="3">
        <f>Merge2[[#This Row],[Coverage]]*100</f>
        <v>97</v>
      </c>
      <c r="G285" s="1">
        <v>0.97</v>
      </c>
      <c r="H285" s="3">
        <v>501355</v>
      </c>
      <c r="I285" s="2">
        <v>0</v>
      </c>
    </row>
    <row r="286" spans="1:9" x14ac:dyDescent="0.3">
      <c r="A286" s="4" t="s">
        <v>27</v>
      </c>
      <c r="B286" s="3">
        <v>2009</v>
      </c>
      <c r="C286" s="4" t="s">
        <v>26</v>
      </c>
      <c r="D286" s="4" t="s">
        <v>5</v>
      </c>
      <c r="E286" s="3">
        <v>0</v>
      </c>
      <c r="F286" s="3">
        <f>Merge2[[#This Row],[Coverage]]*100</f>
        <v>97</v>
      </c>
      <c r="G286" s="1">
        <v>0.97</v>
      </c>
      <c r="H286" s="3">
        <v>506141</v>
      </c>
      <c r="I286" s="2">
        <v>0</v>
      </c>
    </row>
    <row r="287" spans="1:9" x14ac:dyDescent="0.3">
      <c r="A287" s="4" t="s">
        <v>27</v>
      </c>
      <c r="B287" s="3">
        <v>2010</v>
      </c>
      <c r="C287" s="4" t="s">
        <v>26</v>
      </c>
      <c r="D287" s="4" t="s">
        <v>5</v>
      </c>
      <c r="E287" s="3">
        <v>0</v>
      </c>
      <c r="F287" s="3">
        <f>Merge2[[#This Row],[Coverage]]*100</f>
        <v>97</v>
      </c>
      <c r="G287" s="1">
        <v>0.97</v>
      </c>
      <c r="H287" s="3">
        <v>509784</v>
      </c>
      <c r="I287" s="2">
        <v>0</v>
      </c>
    </row>
    <row r="288" spans="1:9" x14ac:dyDescent="0.3">
      <c r="A288" s="4" t="s">
        <v>27</v>
      </c>
      <c r="B288" s="3">
        <v>2011</v>
      </c>
      <c r="C288" s="4" t="s">
        <v>26</v>
      </c>
      <c r="D288" s="4" t="s">
        <v>5</v>
      </c>
      <c r="E288" s="3">
        <v>0</v>
      </c>
      <c r="F288" s="3">
        <f>Merge2[[#This Row],[Coverage]]*100</f>
        <v>96</v>
      </c>
      <c r="G288" s="1">
        <v>0.96</v>
      </c>
      <c r="H288" s="3">
        <v>511447</v>
      </c>
      <c r="I288" s="2">
        <v>0</v>
      </c>
    </row>
    <row r="289" spans="1:9" x14ac:dyDescent="0.3">
      <c r="A289" s="4" t="s">
        <v>27</v>
      </c>
      <c r="B289" s="3">
        <v>2012</v>
      </c>
      <c r="C289" s="4" t="s">
        <v>26</v>
      </c>
      <c r="D289" s="4" t="s">
        <v>5</v>
      </c>
      <c r="E289" s="3">
        <v>0</v>
      </c>
      <c r="F289" s="3">
        <f>Merge2[[#This Row],[Coverage]]*100</f>
        <v>91</v>
      </c>
      <c r="G289" s="1">
        <v>0.91</v>
      </c>
      <c r="H289" s="3">
        <v>511955</v>
      </c>
      <c r="I289" s="2">
        <v>0</v>
      </c>
    </row>
    <row r="290" spans="1:9" x14ac:dyDescent="0.3">
      <c r="A290" s="4" t="s">
        <v>27</v>
      </c>
      <c r="B290" s="3">
        <v>2013</v>
      </c>
      <c r="C290" s="4" t="s">
        <v>26</v>
      </c>
      <c r="D290" s="4" t="s">
        <v>5</v>
      </c>
      <c r="E290" s="3">
        <v>0</v>
      </c>
      <c r="F290" s="3">
        <f>Merge2[[#This Row],[Coverage]]*100</f>
        <v>91</v>
      </c>
      <c r="G290" s="1">
        <v>0.91</v>
      </c>
      <c r="H290" s="3">
        <v>512225</v>
      </c>
      <c r="I290" s="2">
        <v>0</v>
      </c>
    </row>
    <row r="291" spans="1:9" x14ac:dyDescent="0.3">
      <c r="A291" s="4" t="s">
        <v>27</v>
      </c>
      <c r="B291" s="3">
        <v>2014</v>
      </c>
      <c r="C291" s="4" t="s">
        <v>26</v>
      </c>
      <c r="D291" s="4" t="s">
        <v>5</v>
      </c>
      <c r="E291" s="3">
        <v>0</v>
      </c>
      <c r="F291" s="3">
        <f>Merge2[[#This Row],[Coverage]]*100</f>
        <v>93</v>
      </c>
      <c r="G291" s="1">
        <v>0.93</v>
      </c>
      <c r="H291" s="3">
        <v>512326</v>
      </c>
      <c r="I291" s="2">
        <v>0</v>
      </c>
    </row>
    <row r="292" spans="1:9" x14ac:dyDescent="0.3">
      <c r="A292" s="4" t="s">
        <v>27</v>
      </c>
      <c r="B292" s="3">
        <v>2015</v>
      </c>
      <c r="C292" s="4" t="s">
        <v>26</v>
      </c>
      <c r="D292" s="4" t="s">
        <v>5</v>
      </c>
      <c r="E292" s="3">
        <v>0</v>
      </c>
      <c r="F292" s="3">
        <f>Merge2[[#This Row],[Coverage]]*100</f>
        <v>92</v>
      </c>
      <c r="G292" s="1">
        <v>0.92</v>
      </c>
      <c r="H292" s="3">
        <v>512394</v>
      </c>
      <c r="I292" s="2">
        <v>0</v>
      </c>
    </row>
    <row r="293" spans="1:9" x14ac:dyDescent="0.3">
      <c r="A293" s="4" t="s">
        <v>27</v>
      </c>
      <c r="B293" s="3">
        <v>2016</v>
      </c>
      <c r="C293" s="4" t="s">
        <v>26</v>
      </c>
      <c r="D293" s="4" t="s">
        <v>5</v>
      </c>
      <c r="E293" s="3"/>
      <c r="F293" s="3">
        <f>Merge2[[#This Row],[Coverage]]*100</f>
        <v>93</v>
      </c>
      <c r="G293" s="1">
        <v>0.93</v>
      </c>
      <c r="H293" s="3">
        <v>512554</v>
      </c>
    </row>
    <row r="294" spans="1:9" x14ac:dyDescent="0.3">
      <c r="A294" s="4" t="s">
        <v>27</v>
      </c>
      <c r="B294" s="3">
        <v>2017</v>
      </c>
      <c r="C294" s="4" t="s">
        <v>26</v>
      </c>
      <c r="D294" s="4" t="s">
        <v>5</v>
      </c>
      <c r="E294" s="3">
        <v>0</v>
      </c>
      <c r="F294" s="3">
        <f>Merge2[[#This Row],[Coverage]]*100</f>
        <v>96</v>
      </c>
      <c r="G294" s="1">
        <v>0.96</v>
      </c>
      <c r="H294" s="3">
        <v>512893</v>
      </c>
      <c r="I294" s="2">
        <v>0</v>
      </c>
    </row>
    <row r="295" spans="1:9" x14ac:dyDescent="0.3">
      <c r="A295" s="4" t="s">
        <v>27</v>
      </c>
      <c r="B295" s="3">
        <v>2018</v>
      </c>
      <c r="C295" s="4" t="s">
        <v>26</v>
      </c>
      <c r="D295" s="4" t="s">
        <v>5</v>
      </c>
      <c r="E295" s="3">
        <v>0</v>
      </c>
      <c r="F295" s="3">
        <f>Merge2[[#This Row],[Coverage]]*100</f>
        <v>99</v>
      </c>
      <c r="G295" s="1">
        <v>0.99</v>
      </c>
      <c r="H295" s="3">
        <v>513415</v>
      </c>
      <c r="I295" s="2">
        <v>0</v>
      </c>
    </row>
    <row r="296" spans="1:9" x14ac:dyDescent="0.3">
      <c r="A296" s="4" t="s">
        <v>27</v>
      </c>
      <c r="B296" s="3">
        <v>2019</v>
      </c>
      <c r="C296" s="4" t="s">
        <v>26</v>
      </c>
      <c r="D296" s="4" t="s">
        <v>5</v>
      </c>
      <c r="E296" s="3">
        <v>0</v>
      </c>
      <c r="F296" s="3">
        <f>Merge2[[#This Row],[Coverage]]*100</f>
        <v>98</v>
      </c>
      <c r="G296" s="1">
        <v>0.98</v>
      </c>
      <c r="H296" s="3">
        <v>514104</v>
      </c>
      <c r="I296" s="2">
        <v>0</v>
      </c>
    </row>
    <row r="297" spans="1:9" x14ac:dyDescent="0.3">
      <c r="A297" s="4" t="s">
        <v>27</v>
      </c>
      <c r="B297" s="3">
        <v>2020</v>
      </c>
      <c r="C297" s="4" t="s">
        <v>26</v>
      </c>
      <c r="D297" s="4" t="s">
        <v>5</v>
      </c>
      <c r="E297" s="3"/>
      <c r="F297" s="3">
        <f>Merge2[[#This Row],[Coverage]]*100</f>
        <v>95</v>
      </c>
      <c r="G297" s="1">
        <v>0.95</v>
      </c>
      <c r="H297" s="3">
        <v>514679</v>
      </c>
    </row>
    <row r="298" spans="1:9" x14ac:dyDescent="0.3">
      <c r="A298" s="4" t="s">
        <v>27</v>
      </c>
      <c r="B298" s="3">
        <v>2021</v>
      </c>
      <c r="C298" s="4" t="s">
        <v>26</v>
      </c>
      <c r="D298" s="4" t="s">
        <v>5</v>
      </c>
      <c r="E298" s="3">
        <v>0</v>
      </c>
      <c r="F298" s="3">
        <f>Merge2[[#This Row],[Coverage]]*100</f>
        <v>95</v>
      </c>
      <c r="G298" s="1">
        <v>0.95</v>
      </c>
      <c r="H298" s="3">
        <v>516649</v>
      </c>
      <c r="I298" s="2">
        <v>0</v>
      </c>
    </row>
    <row r="299" spans="1:9" x14ac:dyDescent="0.3">
      <c r="A299" s="4" t="s">
        <v>27</v>
      </c>
      <c r="B299" s="3">
        <v>2022</v>
      </c>
      <c r="C299" s="4" t="s">
        <v>26</v>
      </c>
      <c r="D299" s="4" t="s">
        <v>5</v>
      </c>
      <c r="E299" s="3">
        <v>0</v>
      </c>
      <c r="F299" s="3">
        <f>Merge2[[#This Row],[Coverage]]*100</f>
        <v>95</v>
      </c>
      <c r="G299" s="1">
        <v>0.95</v>
      </c>
      <c r="H299" s="3">
        <v>519741</v>
      </c>
      <c r="I299" s="2">
        <v>0</v>
      </c>
    </row>
    <row r="300" spans="1:9" x14ac:dyDescent="0.3">
      <c r="A300" s="4" t="s">
        <v>27</v>
      </c>
      <c r="B300" s="3">
        <v>2023</v>
      </c>
      <c r="C300" s="4" t="s">
        <v>26</v>
      </c>
      <c r="D300" s="4" t="s">
        <v>5</v>
      </c>
      <c r="E300" s="3">
        <v>0</v>
      </c>
      <c r="F300" s="3">
        <f>Merge2[[#This Row],[Coverage]]*100</f>
        <v>95</v>
      </c>
      <c r="G300" s="1">
        <v>0.95</v>
      </c>
      <c r="H300" s="3">
        <v>522331</v>
      </c>
      <c r="I300" s="2">
        <v>0</v>
      </c>
    </row>
    <row r="301" spans="1:9" x14ac:dyDescent="0.3">
      <c r="A301" s="4" t="s">
        <v>27</v>
      </c>
      <c r="B301" s="3">
        <v>2024</v>
      </c>
      <c r="C301" s="4" t="s">
        <v>26</v>
      </c>
      <c r="D301" s="4" t="s">
        <v>5</v>
      </c>
      <c r="E301" s="3">
        <v>0</v>
      </c>
      <c r="F301" s="3">
        <f>Merge2[[#This Row],[Coverage]]*100</f>
        <v>95</v>
      </c>
      <c r="G301" s="1">
        <v>0.95</v>
      </c>
      <c r="H301" s="3">
        <v>524877</v>
      </c>
      <c r="I301" s="2">
        <v>0</v>
      </c>
    </row>
    <row r="302" spans="1:9" x14ac:dyDescent="0.3">
      <c r="A302" s="4" t="s">
        <v>36</v>
      </c>
      <c r="B302" s="3">
        <v>2000</v>
      </c>
      <c r="C302" s="4" t="s">
        <v>68</v>
      </c>
      <c r="D302" s="4" t="s">
        <v>5</v>
      </c>
      <c r="E302" s="3">
        <v>1660</v>
      </c>
      <c r="F302" s="3">
        <f>Merge2[[#This Row],[Coverage]]*100</f>
        <v>28.000000000000004</v>
      </c>
      <c r="G302" s="1">
        <v>0.28000000000000003</v>
      </c>
      <c r="H302" s="3">
        <v>67411494</v>
      </c>
      <c r="I302" s="2">
        <v>2.4624880736213917</v>
      </c>
    </row>
    <row r="303" spans="1:9" x14ac:dyDescent="0.3">
      <c r="A303" s="4" t="s">
        <v>36</v>
      </c>
      <c r="B303" s="3">
        <v>2001</v>
      </c>
      <c r="C303" s="4" t="s">
        <v>68</v>
      </c>
      <c r="D303" s="4" t="s">
        <v>5</v>
      </c>
      <c r="E303" s="3">
        <v>2366</v>
      </c>
      <c r="F303" s="3">
        <f>Merge2[[#This Row],[Coverage]]*100</f>
        <v>28.999999999999996</v>
      </c>
      <c r="G303" s="1">
        <v>0.28999999999999998</v>
      </c>
      <c r="H303" s="3">
        <v>69487762</v>
      </c>
      <c r="I303" s="2">
        <v>3.4049161059468287</v>
      </c>
    </row>
    <row r="304" spans="1:9" x14ac:dyDescent="0.3">
      <c r="A304" s="4" t="s">
        <v>36</v>
      </c>
      <c r="B304" s="3">
        <v>2002</v>
      </c>
      <c r="C304" s="4" t="s">
        <v>68</v>
      </c>
      <c r="D304" s="4" t="s">
        <v>5</v>
      </c>
      <c r="E304" s="3">
        <v>3332</v>
      </c>
      <c r="F304" s="3">
        <f>Merge2[[#This Row],[Coverage]]*100</f>
        <v>32</v>
      </c>
      <c r="G304" s="1">
        <v>0.32</v>
      </c>
      <c r="H304" s="3">
        <v>71635517</v>
      </c>
      <c r="I304" s="2">
        <v>4.651324007335635</v>
      </c>
    </row>
    <row r="305" spans="1:9" x14ac:dyDescent="0.3">
      <c r="A305" s="4" t="s">
        <v>36</v>
      </c>
      <c r="B305" s="3">
        <v>2003</v>
      </c>
      <c r="C305" s="4" t="s">
        <v>68</v>
      </c>
      <c r="D305" s="4" t="s">
        <v>5</v>
      </c>
      <c r="E305" s="3">
        <v>228</v>
      </c>
      <c r="F305" s="3">
        <f>Merge2[[#This Row],[Coverage]]*100</f>
        <v>33</v>
      </c>
      <c r="G305" s="1">
        <v>0.33</v>
      </c>
      <c r="H305" s="3">
        <v>73832663</v>
      </c>
      <c r="I305" s="2">
        <v>0.30880641539368558</v>
      </c>
    </row>
    <row r="306" spans="1:9" x14ac:dyDescent="0.3">
      <c r="A306" s="4" t="s">
        <v>36</v>
      </c>
      <c r="B306" s="3">
        <v>2004</v>
      </c>
      <c r="C306" s="4" t="s">
        <v>68</v>
      </c>
      <c r="D306" s="4" t="s">
        <v>5</v>
      </c>
      <c r="E306" s="3">
        <v>73</v>
      </c>
      <c r="F306" s="3">
        <f>Merge2[[#This Row],[Coverage]]*100</f>
        <v>35</v>
      </c>
      <c r="G306" s="1">
        <v>0.35</v>
      </c>
      <c r="H306" s="3">
        <v>76077206</v>
      </c>
      <c r="I306" s="2">
        <v>9.5955153768396806E-2</v>
      </c>
    </row>
    <row r="307" spans="1:9" x14ac:dyDescent="0.3">
      <c r="A307" s="4" t="s">
        <v>36</v>
      </c>
      <c r="B307" s="3">
        <v>2005</v>
      </c>
      <c r="C307" s="4" t="s">
        <v>68</v>
      </c>
      <c r="D307" s="4" t="s">
        <v>5</v>
      </c>
      <c r="E307" s="3">
        <v>357</v>
      </c>
      <c r="F307" s="3">
        <f>Merge2[[#This Row],[Coverage]]*100</f>
        <v>40</v>
      </c>
      <c r="G307" s="1">
        <v>0.4</v>
      </c>
      <c r="H307" s="3">
        <v>78367470</v>
      </c>
      <c r="I307" s="2">
        <v>0.4555461596501712</v>
      </c>
    </row>
    <row r="308" spans="1:9" x14ac:dyDescent="0.3">
      <c r="A308" s="4" t="s">
        <v>36</v>
      </c>
      <c r="B308" s="3">
        <v>2006</v>
      </c>
      <c r="C308" s="4" t="s">
        <v>68</v>
      </c>
      <c r="D308" s="4" t="s">
        <v>5</v>
      </c>
      <c r="E308" s="3">
        <v>1451</v>
      </c>
      <c r="F308" s="3">
        <f>Merge2[[#This Row],[Coverage]]*100</f>
        <v>44</v>
      </c>
      <c r="G308" s="1">
        <v>0.44</v>
      </c>
      <c r="H308" s="3">
        <v>80703490</v>
      </c>
      <c r="I308" s="2">
        <v>1.7979395934426132</v>
      </c>
    </row>
    <row r="309" spans="1:9" x14ac:dyDescent="0.3">
      <c r="A309" s="4" t="s">
        <v>36</v>
      </c>
      <c r="B309" s="3">
        <v>2007</v>
      </c>
      <c r="C309" s="4" t="s">
        <v>68</v>
      </c>
      <c r="D309" s="4" t="s">
        <v>5</v>
      </c>
      <c r="E309" s="3">
        <v>1446</v>
      </c>
      <c r="F309" s="3">
        <f>Merge2[[#This Row],[Coverage]]*100</f>
        <v>49</v>
      </c>
      <c r="G309" s="1">
        <v>0.49</v>
      </c>
      <c r="H309" s="3">
        <v>83103217</v>
      </c>
      <c r="I309" s="2">
        <v>1.7400048424118166</v>
      </c>
    </row>
    <row r="310" spans="1:9" x14ac:dyDescent="0.3">
      <c r="A310" s="4" t="s">
        <v>36</v>
      </c>
      <c r="B310" s="3">
        <v>2008</v>
      </c>
      <c r="C310" s="4" t="s">
        <v>68</v>
      </c>
      <c r="D310" s="4" t="s">
        <v>5</v>
      </c>
      <c r="E310" s="3">
        <v>3511</v>
      </c>
      <c r="F310" s="3">
        <f>Merge2[[#This Row],[Coverage]]*100</f>
        <v>54</v>
      </c>
      <c r="G310" s="1">
        <v>0.54</v>
      </c>
      <c r="H310" s="3">
        <v>85543668</v>
      </c>
      <c r="I310" s="2">
        <v>4.1043365126685938</v>
      </c>
    </row>
    <row r="311" spans="1:9" x14ac:dyDescent="0.3">
      <c r="A311" s="4" t="s">
        <v>36</v>
      </c>
      <c r="B311" s="3">
        <v>2009</v>
      </c>
      <c r="C311" s="4" t="s">
        <v>68</v>
      </c>
      <c r="D311" s="4" t="s">
        <v>5</v>
      </c>
      <c r="E311" s="3">
        <v>1176</v>
      </c>
      <c r="F311" s="3">
        <f>Merge2[[#This Row],[Coverage]]*100</f>
        <v>59</v>
      </c>
      <c r="G311" s="1">
        <v>0.59</v>
      </c>
      <c r="H311" s="3">
        <v>88007636</v>
      </c>
      <c r="I311" s="2">
        <v>1.3362476865075663</v>
      </c>
    </row>
    <row r="312" spans="1:9" x14ac:dyDescent="0.3">
      <c r="A312" s="4" t="s">
        <v>36</v>
      </c>
      <c r="B312" s="3">
        <v>2010</v>
      </c>
      <c r="C312" s="4" t="s">
        <v>68</v>
      </c>
      <c r="D312" s="4" t="s">
        <v>5</v>
      </c>
      <c r="E312" s="3">
        <v>4235</v>
      </c>
      <c r="F312" s="3">
        <f>Merge2[[#This Row],[Coverage]]*100</f>
        <v>64</v>
      </c>
      <c r="G312" s="1">
        <v>0.64</v>
      </c>
      <c r="H312" s="3">
        <v>90538514</v>
      </c>
      <c r="I312" s="2">
        <v>4.6775673830917972</v>
      </c>
    </row>
    <row r="313" spans="1:9" x14ac:dyDescent="0.3">
      <c r="A313" s="4" t="s">
        <v>36</v>
      </c>
      <c r="B313" s="3">
        <v>2011</v>
      </c>
      <c r="C313" s="4" t="s">
        <v>68</v>
      </c>
      <c r="D313" s="4" t="s">
        <v>5</v>
      </c>
      <c r="E313" s="3">
        <v>3255</v>
      </c>
      <c r="F313" s="3">
        <f>Merge2[[#This Row],[Coverage]]*100</f>
        <v>68</v>
      </c>
      <c r="G313" s="1">
        <v>0.68</v>
      </c>
      <c r="H313" s="3">
        <v>93149970</v>
      </c>
      <c r="I313" s="2">
        <v>3.4943650545459111</v>
      </c>
    </row>
    <row r="314" spans="1:9" x14ac:dyDescent="0.3">
      <c r="A314" s="4" t="s">
        <v>36</v>
      </c>
      <c r="B314" s="3">
        <v>2012</v>
      </c>
      <c r="C314" s="4" t="s">
        <v>68</v>
      </c>
      <c r="D314" s="4" t="s">
        <v>5</v>
      </c>
      <c r="E314" s="3">
        <v>4347</v>
      </c>
      <c r="F314" s="3">
        <f>Merge2[[#This Row],[Coverage]]*100</f>
        <v>62</v>
      </c>
      <c r="G314" s="1">
        <v>0.62</v>
      </c>
      <c r="H314" s="3">
        <v>95798767</v>
      </c>
      <c r="I314" s="2">
        <v>4.5376366900421594</v>
      </c>
    </row>
    <row r="315" spans="1:9" x14ac:dyDescent="0.3">
      <c r="A315" s="4" t="s">
        <v>36</v>
      </c>
      <c r="B315" s="3">
        <v>2013</v>
      </c>
      <c r="C315" s="4" t="s">
        <v>68</v>
      </c>
      <c r="D315" s="4" t="s">
        <v>5</v>
      </c>
      <c r="E315" s="3">
        <v>5253</v>
      </c>
      <c r="F315" s="3">
        <f>Merge2[[#This Row],[Coverage]]*100</f>
        <v>55.000000000000007</v>
      </c>
      <c r="G315" s="1">
        <v>0.55000000000000004</v>
      </c>
      <c r="H315" s="3">
        <v>98438751</v>
      </c>
      <c r="I315" s="2">
        <v>5.3363131354643052</v>
      </c>
    </row>
    <row r="316" spans="1:9" x14ac:dyDescent="0.3">
      <c r="A316" s="4" t="s">
        <v>36</v>
      </c>
      <c r="B316" s="3">
        <v>2014</v>
      </c>
      <c r="C316" s="4" t="s">
        <v>68</v>
      </c>
      <c r="D316" s="4" t="s">
        <v>5</v>
      </c>
      <c r="E316" s="3">
        <v>12739</v>
      </c>
      <c r="F316" s="3">
        <f>Merge2[[#This Row],[Coverage]]*100</f>
        <v>54</v>
      </c>
      <c r="G316" s="1">
        <v>0.54</v>
      </c>
      <c r="H316" s="3">
        <v>101115610</v>
      </c>
      <c r="I316" s="2">
        <v>12.598450427189233</v>
      </c>
    </row>
    <row r="317" spans="1:9" x14ac:dyDescent="0.3">
      <c r="A317" s="4" t="s">
        <v>36</v>
      </c>
      <c r="B317" s="3">
        <v>2015</v>
      </c>
      <c r="C317" s="4" t="s">
        <v>68</v>
      </c>
      <c r="D317" s="4" t="s">
        <v>5</v>
      </c>
      <c r="E317" s="3">
        <v>17745</v>
      </c>
      <c r="F317" s="3">
        <f>Merge2[[#This Row],[Coverage]]*100</f>
        <v>56.000000000000007</v>
      </c>
      <c r="G317" s="1">
        <v>0.56000000000000005</v>
      </c>
      <c r="H317" s="3">
        <v>103867135</v>
      </c>
      <c r="I317" s="2">
        <v>17.084326047888005</v>
      </c>
    </row>
    <row r="318" spans="1:9" x14ac:dyDescent="0.3">
      <c r="A318" s="4" t="s">
        <v>36</v>
      </c>
      <c r="B318" s="3">
        <v>2016</v>
      </c>
      <c r="C318" s="4" t="s">
        <v>68</v>
      </c>
      <c r="D318" s="4" t="s">
        <v>5</v>
      </c>
      <c r="E318" s="3">
        <v>4579</v>
      </c>
      <c r="F318" s="3">
        <f>Merge2[[#This Row],[Coverage]]*100</f>
        <v>56.999999999999993</v>
      </c>
      <c r="G318" s="1">
        <v>0.56999999999999995</v>
      </c>
      <c r="H318" s="3">
        <v>106718162</v>
      </c>
      <c r="I318" s="2">
        <v>4.2907410642998141</v>
      </c>
    </row>
    <row r="319" spans="1:9" x14ac:dyDescent="0.3">
      <c r="A319" s="4" t="s">
        <v>36</v>
      </c>
      <c r="B319" s="3">
        <v>2017</v>
      </c>
      <c r="C319" s="4" t="s">
        <v>68</v>
      </c>
      <c r="D319" s="4" t="s">
        <v>5</v>
      </c>
      <c r="E319" s="3">
        <v>1921</v>
      </c>
      <c r="F319" s="3">
        <f>Merge2[[#This Row],[Coverage]]*100</f>
        <v>59</v>
      </c>
      <c r="G319" s="1">
        <v>0.59</v>
      </c>
      <c r="H319" s="3">
        <v>109666481</v>
      </c>
      <c r="I319" s="2">
        <v>1.751674698124033</v>
      </c>
    </row>
    <row r="320" spans="1:9" x14ac:dyDescent="0.3">
      <c r="A320" s="4" t="s">
        <v>36</v>
      </c>
      <c r="B320" s="3">
        <v>2018</v>
      </c>
      <c r="C320" s="4" t="s">
        <v>68</v>
      </c>
      <c r="D320" s="4" t="s">
        <v>5</v>
      </c>
      <c r="E320" s="3">
        <v>1752</v>
      </c>
      <c r="F320" s="3">
        <f>Merge2[[#This Row],[Coverage]]*100</f>
        <v>54</v>
      </c>
      <c r="G320" s="1">
        <v>0.54</v>
      </c>
      <c r="H320" s="3">
        <v>112664152</v>
      </c>
      <c r="I320" s="2">
        <v>1.5550642940977355</v>
      </c>
    </row>
    <row r="321" spans="1:9" x14ac:dyDescent="0.3">
      <c r="A321" s="4" t="s">
        <v>36</v>
      </c>
      <c r="B321" s="3">
        <v>2019</v>
      </c>
      <c r="C321" s="4" t="s">
        <v>68</v>
      </c>
      <c r="D321" s="4" t="s">
        <v>5</v>
      </c>
      <c r="E321" s="3">
        <v>3998</v>
      </c>
      <c r="F321" s="3">
        <f>Merge2[[#This Row],[Coverage]]*100</f>
        <v>56.000000000000007</v>
      </c>
      <c r="G321" s="1">
        <v>0.56000000000000005</v>
      </c>
      <c r="H321" s="3">
        <v>115737383</v>
      </c>
      <c r="I321" s="2">
        <v>3.4543722143777864</v>
      </c>
    </row>
    <row r="322" spans="1:9" x14ac:dyDescent="0.3">
      <c r="A322" s="4" t="s">
        <v>36</v>
      </c>
      <c r="B322" s="3">
        <v>2020</v>
      </c>
      <c r="C322" s="4" t="s">
        <v>68</v>
      </c>
      <c r="D322" s="4" t="s">
        <v>5</v>
      </c>
      <c r="E322" s="3">
        <v>1952</v>
      </c>
      <c r="F322" s="3">
        <f>Merge2[[#This Row],[Coverage]]*100</f>
        <v>56.999999999999993</v>
      </c>
      <c r="G322" s="1">
        <v>0.56999999999999995</v>
      </c>
      <c r="H322" s="3">
        <v>118917671</v>
      </c>
      <c r="I322" s="2">
        <v>1.6414717708354714</v>
      </c>
    </row>
    <row r="323" spans="1:9" x14ac:dyDescent="0.3">
      <c r="A323" s="4" t="s">
        <v>36</v>
      </c>
      <c r="B323" s="3">
        <v>2021</v>
      </c>
      <c r="C323" s="4" t="s">
        <v>68</v>
      </c>
      <c r="D323" s="4" t="s">
        <v>5</v>
      </c>
      <c r="E323" s="3">
        <v>1953</v>
      </c>
      <c r="F323" s="3">
        <f>Merge2[[#This Row],[Coverage]]*100</f>
        <v>60</v>
      </c>
      <c r="G323" s="1">
        <v>0.6</v>
      </c>
      <c r="H323" s="3">
        <v>122138588</v>
      </c>
      <c r="I323" s="2">
        <v>1.5990032568576935</v>
      </c>
    </row>
    <row r="324" spans="1:9" x14ac:dyDescent="0.3">
      <c r="A324" s="4" t="s">
        <v>36</v>
      </c>
      <c r="B324" s="3">
        <v>2022</v>
      </c>
      <c r="C324" s="4" t="s">
        <v>68</v>
      </c>
      <c r="D324" s="4" t="s">
        <v>5</v>
      </c>
      <c r="E324" s="3">
        <v>9292</v>
      </c>
      <c r="F324" s="3">
        <f>Merge2[[#This Row],[Coverage]]*100</f>
        <v>62</v>
      </c>
      <c r="G324" s="1">
        <v>0.62</v>
      </c>
      <c r="H324" s="3">
        <v>125384287</v>
      </c>
      <c r="I324" s="2">
        <v>7.4108169550782703</v>
      </c>
    </row>
    <row r="325" spans="1:9" x14ac:dyDescent="0.3">
      <c r="A325" s="4" t="s">
        <v>36</v>
      </c>
      <c r="B325" s="3">
        <v>2023</v>
      </c>
      <c r="C325" s="4" t="s">
        <v>68</v>
      </c>
      <c r="D325" s="4" t="s">
        <v>5</v>
      </c>
      <c r="E325" s="3">
        <v>24038</v>
      </c>
      <c r="F325" s="3">
        <f>Merge2[[#This Row],[Coverage]]*100</f>
        <v>68</v>
      </c>
      <c r="G325" s="1">
        <v>0.68</v>
      </c>
      <c r="H325" s="3">
        <v>128691692</v>
      </c>
      <c r="I325" s="2">
        <v>18.678750451116922</v>
      </c>
    </row>
    <row r="326" spans="1:9" x14ac:dyDescent="0.3">
      <c r="A326" s="4" t="s">
        <v>36</v>
      </c>
      <c r="B326" s="3">
        <v>2024</v>
      </c>
      <c r="C326" s="4" t="s">
        <v>68</v>
      </c>
      <c r="D326" s="4" t="s">
        <v>5</v>
      </c>
      <c r="E326" s="3">
        <v>31044</v>
      </c>
      <c r="F326" s="3">
        <f>Merge2[[#This Row],[Coverage]]*100</f>
        <v>72</v>
      </c>
      <c r="G326" s="1">
        <v>0.72</v>
      </c>
      <c r="H326" s="3">
        <v>132059767</v>
      </c>
      <c r="I326" s="2">
        <v>23.507538067971907</v>
      </c>
    </row>
    <row r="327" spans="1:9" x14ac:dyDescent="0.3">
      <c r="A327" s="4" t="s">
        <v>37</v>
      </c>
      <c r="B327" s="3">
        <v>2000</v>
      </c>
      <c r="C327" s="4" t="s">
        <v>69</v>
      </c>
      <c r="D327" s="4" t="s">
        <v>5</v>
      </c>
      <c r="E327" s="3">
        <v>15</v>
      </c>
      <c r="F327" s="3">
        <f>Merge2[[#This Row],[Coverage]]*100</f>
        <v>55.000000000000007</v>
      </c>
      <c r="G327" s="1">
        <v>0.55000000000000004</v>
      </c>
      <c r="H327" s="3">
        <v>1275572</v>
      </c>
      <c r="I327" s="2">
        <v>1.1759430279121836</v>
      </c>
    </row>
    <row r="328" spans="1:9" x14ac:dyDescent="0.3">
      <c r="A328" s="4" t="s">
        <v>37</v>
      </c>
      <c r="B328" s="3">
        <v>2001</v>
      </c>
      <c r="C328" s="4" t="s">
        <v>69</v>
      </c>
      <c r="D328" s="4" t="s">
        <v>5</v>
      </c>
      <c r="E328" s="3">
        <v>5129</v>
      </c>
      <c r="F328" s="3">
        <f>Merge2[[#This Row],[Coverage]]*100</f>
        <v>55.000000000000007</v>
      </c>
      <c r="G328" s="1">
        <v>0.55000000000000004</v>
      </c>
      <c r="H328" s="3">
        <v>1309589</v>
      </c>
      <c r="I328" s="2">
        <v>391.64959388021737</v>
      </c>
    </row>
    <row r="329" spans="1:9" x14ac:dyDescent="0.3">
      <c r="A329" s="4" t="s">
        <v>37</v>
      </c>
      <c r="B329" s="3">
        <v>2002</v>
      </c>
      <c r="C329" s="4" t="s">
        <v>69</v>
      </c>
      <c r="D329" s="4" t="s">
        <v>5</v>
      </c>
      <c r="E329" s="3">
        <v>110</v>
      </c>
      <c r="F329" s="3">
        <f>Merge2[[#This Row],[Coverage]]*100</f>
        <v>55.000000000000007</v>
      </c>
      <c r="G329" s="1">
        <v>0.55000000000000004</v>
      </c>
      <c r="H329" s="3">
        <v>1345135</v>
      </c>
      <c r="I329" s="2">
        <v>8.1776178599174063</v>
      </c>
    </row>
    <row r="330" spans="1:9" x14ac:dyDescent="0.3">
      <c r="A330" s="4" t="s">
        <v>37</v>
      </c>
      <c r="B330" s="3">
        <v>2003</v>
      </c>
      <c r="C330" s="4" t="s">
        <v>69</v>
      </c>
      <c r="D330" s="4" t="s">
        <v>5</v>
      </c>
      <c r="E330" s="3"/>
      <c r="F330" s="3">
        <f>Merge2[[#This Row],[Coverage]]*100</f>
        <v>55.000000000000007</v>
      </c>
      <c r="G330" s="1">
        <v>0.55000000000000004</v>
      </c>
      <c r="H330" s="3">
        <v>1382350</v>
      </c>
    </row>
    <row r="331" spans="1:9" x14ac:dyDescent="0.3">
      <c r="A331" s="4" t="s">
        <v>37</v>
      </c>
      <c r="B331" s="3">
        <v>2004</v>
      </c>
      <c r="C331" s="4" t="s">
        <v>69</v>
      </c>
      <c r="D331" s="4" t="s">
        <v>5</v>
      </c>
      <c r="E331" s="3">
        <v>63</v>
      </c>
      <c r="F331" s="3">
        <f>Merge2[[#This Row],[Coverage]]*100</f>
        <v>55.000000000000007</v>
      </c>
      <c r="G331" s="1">
        <v>0.55000000000000004</v>
      </c>
      <c r="H331" s="3">
        <v>1421609</v>
      </c>
      <c r="I331" s="2">
        <v>4.431598280539867</v>
      </c>
    </row>
    <row r="332" spans="1:9" x14ac:dyDescent="0.3">
      <c r="A332" s="4" t="s">
        <v>37</v>
      </c>
      <c r="B332" s="3">
        <v>2005</v>
      </c>
      <c r="C332" s="4" t="s">
        <v>69</v>
      </c>
      <c r="D332" s="4" t="s">
        <v>5</v>
      </c>
      <c r="E332" s="3">
        <v>0</v>
      </c>
      <c r="F332" s="3">
        <f>Merge2[[#This Row],[Coverage]]*100</f>
        <v>55.000000000000007</v>
      </c>
      <c r="G332" s="1">
        <v>0.55000000000000004</v>
      </c>
      <c r="H332" s="3">
        <v>1463495</v>
      </c>
      <c r="I332" s="2">
        <v>0</v>
      </c>
    </row>
    <row r="333" spans="1:9" x14ac:dyDescent="0.3">
      <c r="A333" s="4" t="s">
        <v>37</v>
      </c>
      <c r="B333" s="3">
        <v>2006</v>
      </c>
      <c r="C333" s="4" t="s">
        <v>69</v>
      </c>
      <c r="D333" s="4" t="s">
        <v>5</v>
      </c>
      <c r="E333" s="3">
        <v>90</v>
      </c>
      <c r="F333" s="3">
        <f>Merge2[[#This Row],[Coverage]]*100</f>
        <v>55.000000000000007</v>
      </c>
      <c r="G333" s="1">
        <v>0.55000000000000004</v>
      </c>
      <c r="H333" s="3">
        <v>1508337</v>
      </c>
      <c r="I333" s="2">
        <v>5.9668363237128048</v>
      </c>
    </row>
    <row r="334" spans="1:9" x14ac:dyDescent="0.3">
      <c r="A334" s="4" t="s">
        <v>37</v>
      </c>
      <c r="B334" s="3">
        <v>2007</v>
      </c>
      <c r="C334" s="4" t="s">
        <v>69</v>
      </c>
      <c r="D334" s="4" t="s">
        <v>5</v>
      </c>
      <c r="E334" s="3">
        <v>0</v>
      </c>
      <c r="F334" s="3">
        <f>Merge2[[#This Row],[Coverage]]*100</f>
        <v>62</v>
      </c>
      <c r="G334" s="1">
        <v>0.62</v>
      </c>
      <c r="H334" s="3">
        <v>1556237</v>
      </c>
      <c r="I334" s="2">
        <v>0</v>
      </c>
    </row>
    <row r="335" spans="1:9" x14ac:dyDescent="0.3">
      <c r="A335" s="4" t="s">
        <v>37</v>
      </c>
      <c r="B335" s="3">
        <v>2008</v>
      </c>
      <c r="C335" s="4" t="s">
        <v>69</v>
      </c>
      <c r="D335" s="4" t="s">
        <v>5</v>
      </c>
      <c r="E335" s="3">
        <v>3</v>
      </c>
      <c r="F335" s="3">
        <f>Merge2[[#This Row],[Coverage]]*100</f>
        <v>67</v>
      </c>
      <c r="G335" s="1">
        <v>0.67</v>
      </c>
      <c r="H335" s="3">
        <v>1607175</v>
      </c>
      <c r="I335" s="2">
        <v>0.1866629334079985</v>
      </c>
    </row>
    <row r="336" spans="1:9" x14ac:dyDescent="0.3">
      <c r="A336" s="4" t="s">
        <v>37</v>
      </c>
      <c r="B336" s="3">
        <v>2009</v>
      </c>
      <c r="C336" s="4" t="s">
        <v>69</v>
      </c>
      <c r="D336" s="4" t="s">
        <v>5</v>
      </c>
      <c r="E336" s="3">
        <v>0</v>
      </c>
      <c r="F336" s="3">
        <f>Merge2[[#This Row],[Coverage]]*100</f>
        <v>63</v>
      </c>
      <c r="G336" s="1">
        <v>0.63</v>
      </c>
      <c r="H336" s="3">
        <v>1661556</v>
      </c>
      <c r="I336" s="2">
        <v>0</v>
      </c>
    </row>
    <row r="337" spans="1:9" x14ac:dyDescent="0.3">
      <c r="A337" s="4" t="s">
        <v>37</v>
      </c>
      <c r="B337" s="3">
        <v>2010</v>
      </c>
      <c r="C337" s="4" t="s">
        <v>69</v>
      </c>
      <c r="D337" s="4" t="s">
        <v>5</v>
      </c>
      <c r="E337" s="3">
        <v>1</v>
      </c>
      <c r="F337" s="3">
        <f>Merge2[[#This Row],[Coverage]]*100</f>
        <v>62</v>
      </c>
      <c r="G337" s="1">
        <v>0.62</v>
      </c>
      <c r="H337" s="3">
        <v>1719879</v>
      </c>
      <c r="I337" s="2">
        <v>5.8143625220146301E-2</v>
      </c>
    </row>
    <row r="338" spans="1:9" x14ac:dyDescent="0.3">
      <c r="A338" s="4" t="s">
        <v>37</v>
      </c>
      <c r="B338" s="3">
        <v>2011</v>
      </c>
      <c r="C338" s="4" t="s">
        <v>69</v>
      </c>
      <c r="D338" s="4" t="s">
        <v>5</v>
      </c>
      <c r="E338" s="3">
        <v>2</v>
      </c>
      <c r="F338" s="3">
        <f>Merge2[[#This Row],[Coverage]]*100</f>
        <v>72</v>
      </c>
      <c r="G338" s="1">
        <v>0.72</v>
      </c>
      <c r="H338" s="3">
        <v>1781985</v>
      </c>
      <c r="I338" s="2">
        <v>0.11223439030070398</v>
      </c>
    </row>
    <row r="339" spans="1:9" x14ac:dyDescent="0.3">
      <c r="A339" s="4" t="s">
        <v>37</v>
      </c>
      <c r="B339" s="3">
        <v>2012</v>
      </c>
      <c r="C339" s="4" t="s">
        <v>69</v>
      </c>
      <c r="D339" s="4" t="s">
        <v>5</v>
      </c>
      <c r="E339" s="3">
        <v>2</v>
      </c>
      <c r="F339" s="3">
        <f>Merge2[[#This Row],[Coverage]]*100</f>
        <v>71</v>
      </c>
      <c r="G339" s="1">
        <v>0.71</v>
      </c>
      <c r="H339" s="3">
        <v>1846889</v>
      </c>
      <c r="I339" s="2">
        <v>0.10829021126878768</v>
      </c>
    </row>
    <row r="340" spans="1:9" x14ac:dyDescent="0.3">
      <c r="A340" s="4" t="s">
        <v>37</v>
      </c>
      <c r="B340" s="3">
        <v>2013</v>
      </c>
      <c r="C340" s="4" t="s">
        <v>69</v>
      </c>
      <c r="D340" s="4" t="s">
        <v>5</v>
      </c>
      <c r="E340" s="3">
        <v>122</v>
      </c>
      <c r="F340" s="3">
        <f>Merge2[[#This Row],[Coverage]]*100</f>
        <v>70</v>
      </c>
      <c r="G340" s="1">
        <v>0.7</v>
      </c>
      <c r="H340" s="3">
        <v>1913059</v>
      </c>
      <c r="I340" s="2">
        <v>6.3772209848206467</v>
      </c>
    </row>
    <row r="341" spans="1:9" x14ac:dyDescent="0.3">
      <c r="A341" s="4" t="s">
        <v>37</v>
      </c>
      <c r="B341" s="3">
        <v>2014</v>
      </c>
      <c r="C341" s="4" t="s">
        <v>69</v>
      </c>
      <c r="D341" s="4" t="s">
        <v>5</v>
      </c>
      <c r="E341" s="3">
        <v>33</v>
      </c>
      <c r="F341" s="3">
        <f>Merge2[[#This Row],[Coverage]]*100</f>
        <v>61</v>
      </c>
      <c r="G341" s="1">
        <v>0.61</v>
      </c>
      <c r="H341" s="3">
        <v>1978399</v>
      </c>
      <c r="I341" s="2">
        <v>1.6680154003312782</v>
      </c>
    </row>
    <row r="342" spans="1:9" x14ac:dyDescent="0.3">
      <c r="A342" s="4" t="s">
        <v>37</v>
      </c>
      <c r="B342" s="3">
        <v>2015</v>
      </c>
      <c r="C342" s="4" t="s">
        <v>69</v>
      </c>
      <c r="D342" s="4" t="s">
        <v>5</v>
      </c>
      <c r="E342" s="3">
        <v>27</v>
      </c>
      <c r="F342" s="3">
        <f>Merge2[[#This Row],[Coverage]]*100</f>
        <v>68</v>
      </c>
      <c r="G342" s="1">
        <v>0.68</v>
      </c>
      <c r="H342" s="3">
        <v>2040989</v>
      </c>
      <c r="I342" s="2">
        <v>1.3228880704403601</v>
      </c>
    </row>
    <row r="343" spans="1:9" x14ac:dyDescent="0.3">
      <c r="A343" s="4" t="s">
        <v>37</v>
      </c>
      <c r="B343" s="3">
        <v>2016</v>
      </c>
      <c r="C343" s="4" t="s">
        <v>69</v>
      </c>
      <c r="D343" s="4" t="s">
        <v>5</v>
      </c>
      <c r="E343" s="3">
        <v>1509</v>
      </c>
      <c r="F343" s="3">
        <f>Merge2[[#This Row],[Coverage]]*100</f>
        <v>64</v>
      </c>
      <c r="G343" s="1">
        <v>0.64</v>
      </c>
      <c r="H343" s="3">
        <v>2100306</v>
      </c>
      <c r="I343" s="2">
        <v>71.846673770393451</v>
      </c>
    </row>
    <row r="344" spans="1:9" x14ac:dyDescent="0.3">
      <c r="A344" s="4" t="s">
        <v>37</v>
      </c>
      <c r="B344" s="3">
        <v>2017</v>
      </c>
      <c r="C344" s="4" t="s">
        <v>69</v>
      </c>
      <c r="D344" s="4" t="s">
        <v>5</v>
      </c>
      <c r="E344" s="3">
        <v>1075</v>
      </c>
      <c r="F344" s="3">
        <f>Merge2[[#This Row],[Coverage]]*100</f>
        <v>63</v>
      </c>
      <c r="G344" s="1">
        <v>0.63</v>
      </c>
      <c r="H344" s="3">
        <v>2156900</v>
      </c>
      <c r="I344" s="2">
        <v>49.840048217348972</v>
      </c>
    </row>
    <row r="345" spans="1:9" x14ac:dyDescent="0.3">
      <c r="A345" s="4" t="s">
        <v>37</v>
      </c>
      <c r="B345" s="3">
        <v>2018</v>
      </c>
      <c r="C345" s="4" t="s">
        <v>69</v>
      </c>
      <c r="D345" s="4" t="s">
        <v>5</v>
      </c>
      <c r="E345" s="3">
        <v>1</v>
      </c>
      <c r="F345" s="3">
        <f>Merge2[[#This Row],[Coverage]]*100</f>
        <v>59</v>
      </c>
      <c r="G345" s="1">
        <v>0.59</v>
      </c>
      <c r="H345" s="3">
        <v>2212318</v>
      </c>
      <c r="I345" s="2">
        <v>4.520145837985317E-2</v>
      </c>
    </row>
    <row r="346" spans="1:9" x14ac:dyDescent="0.3">
      <c r="A346" s="4" t="s">
        <v>37</v>
      </c>
      <c r="B346" s="3">
        <v>2019</v>
      </c>
      <c r="C346" s="4" t="s">
        <v>69</v>
      </c>
      <c r="D346" s="4" t="s">
        <v>5</v>
      </c>
      <c r="E346" s="3">
        <v>2</v>
      </c>
      <c r="F346" s="3">
        <f>Merge2[[#This Row],[Coverage]]*100</f>
        <v>62</v>
      </c>
      <c r="G346" s="1">
        <v>0.62</v>
      </c>
      <c r="H346" s="3">
        <v>2267706</v>
      </c>
      <c r="I346" s="2">
        <v>8.8194854183037838E-2</v>
      </c>
    </row>
    <row r="347" spans="1:9" x14ac:dyDescent="0.3">
      <c r="A347" s="4" t="s">
        <v>37</v>
      </c>
      <c r="B347" s="3">
        <v>2020</v>
      </c>
      <c r="C347" s="4" t="s">
        <v>69</v>
      </c>
      <c r="D347" s="4" t="s">
        <v>5</v>
      </c>
      <c r="E347" s="3">
        <v>9</v>
      </c>
      <c r="F347" s="3">
        <f>Merge2[[#This Row],[Coverage]]*100</f>
        <v>53</v>
      </c>
      <c r="G347" s="1">
        <v>0.53</v>
      </c>
      <c r="H347" s="3">
        <v>2322539</v>
      </c>
      <c r="I347" s="2">
        <v>0.38750694821486309</v>
      </c>
    </row>
    <row r="348" spans="1:9" x14ac:dyDescent="0.3">
      <c r="A348" s="4" t="s">
        <v>37</v>
      </c>
      <c r="B348" s="3">
        <v>2021</v>
      </c>
      <c r="C348" s="4" t="s">
        <v>69</v>
      </c>
      <c r="D348" s="4" t="s">
        <v>5</v>
      </c>
      <c r="E348" s="3">
        <v>134</v>
      </c>
      <c r="F348" s="3">
        <f>Merge2[[#This Row],[Coverage]]*100</f>
        <v>64</v>
      </c>
      <c r="G348" s="1">
        <v>0.64</v>
      </c>
      <c r="H348" s="3">
        <v>2376722</v>
      </c>
      <c r="I348" s="2">
        <v>5.6380174038023796</v>
      </c>
    </row>
    <row r="349" spans="1:9" x14ac:dyDescent="0.3">
      <c r="A349" s="4" t="s">
        <v>37</v>
      </c>
      <c r="B349" s="3">
        <v>2022</v>
      </c>
      <c r="C349" s="4" t="s">
        <v>69</v>
      </c>
      <c r="D349" s="4" t="s">
        <v>5</v>
      </c>
      <c r="E349" s="3">
        <v>1293</v>
      </c>
      <c r="F349" s="3">
        <f>Merge2[[#This Row],[Coverage]]*100</f>
        <v>52</v>
      </c>
      <c r="G349" s="1">
        <v>0.52</v>
      </c>
      <c r="H349" s="3">
        <v>2430747</v>
      </c>
      <c r="I349" s="2">
        <v>53.193524459764831</v>
      </c>
    </row>
    <row r="350" spans="1:9" x14ac:dyDescent="0.3">
      <c r="A350" s="4" t="s">
        <v>37</v>
      </c>
      <c r="B350" s="3">
        <v>2023</v>
      </c>
      <c r="C350" s="4" t="s">
        <v>69</v>
      </c>
      <c r="D350" s="4" t="s">
        <v>5</v>
      </c>
      <c r="E350" s="3">
        <v>1167</v>
      </c>
      <c r="F350" s="3">
        <f>Merge2[[#This Row],[Coverage]]*100</f>
        <v>66</v>
      </c>
      <c r="G350" s="1">
        <v>0.66</v>
      </c>
      <c r="H350" s="3">
        <v>2484789</v>
      </c>
      <c r="I350" s="2">
        <v>46.965758460778765</v>
      </c>
    </row>
    <row r="351" spans="1:9" x14ac:dyDescent="0.3">
      <c r="A351" s="4" t="s">
        <v>37</v>
      </c>
      <c r="B351" s="3">
        <v>2024</v>
      </c>
      <c r="C351" s="4" t="s">
        <v>69</v>
      </c>
      <c r="D351" s="4" t="s">
        <v>5</v>
      </c>
      <c r="E351" s="3">
        <v>32</v>
      </c>
      <c r="F351" s="3">
        <f>Merge2[[#This Row],[Coverage]]*100</f>
        <v>56.999999999999993</v>
      </c>
      <c r="G351" s="1">
        <v>0.56999999999999995</v>
      </c>
      <c r="H351" s="3">
        <v>2538952</v>
      </c>
      <c r="I351" s="2">
        <v>1.2603625432855761</v>
      </c>
    </row>
    <row r="352" spans="1:9" x14ac:dyDescent="0.3">
      <c r="A352" s="4" t="s">
        <v>39</v>
      </c>
      <c r="B352" s="3">
        <v>2000</v>
      </c>
      <c r="C352" s="4" t="s">
        <v>70</v>
      </c>
      <c r="D352" s="4" t="s">
        <v>5</v>
      </c>
      <c r="E352" s="3">
        <v>23068</v>
      </c>
      <c r="F352" s="3">
        <f>Merge2[[#This Row],[Coverage]]*100</f>
        <v>90</v>
      </c>
      <c r="G352" s="1">
        <v>0.9</v>
      </c>
      <c r="H352" s="3">
        <v>19637087</v>
      </c>
      <c r="I352" s="2">
        <v>117.47159851153074</v>
      </c>
    </row>
    <row r="353" spans="1:9" x14ac:dyDescent="0.3">
      <c r="A353" s="4" t="s">
        <v>39</v>
      </c>
      <c r="B353" s="3">
        <v>2001</v>
      </c>
      <c r="C353" s="4" t="s">
        <v>70</v>
      </c>
      <c r="D353" s="4" t="s">
        <v>5</v>
      </c>
      <c r="E353" s="3">
        <v>13476</v>
      </c>
      <c r="F353" s="3">
        <f>Merge2[[#This Row],[Coverage]]*100</f>
        <v>78</v>
      </c>
      <c r="G353" s="1">
        <v>0.78</v>
      </c>
      <c r="H353" s="3">
        <v>20167069</v>
      </c>
      <c r="I353" s="2">
        <v>66.821807373198354</v>
      </c>
    </row>
    <row r="354" spans="1:9" x14ac:dyDescent="0.3">
      <c r="A354" s="4" t="s">
        <v>39</v>
      </c>
      <c r="B354" s="3">
        <v>2002</v>
      </c>
      <c r="C354" s="4" t="s">
        <v>70</v>
      </c>
      <c r="D354" s="4" t="s">
        <v>5</v>
      </c>
      <c r="E354" s="3">
        <v>12289</v>
      </c>
      <c r="F354" s="3">
        <f>Merge2[[#This Row],[Coverage]]*100</f>
        <v>78</v>
      </c>
      <c r="G354" s="1">
        <v>0.78</v>
      </c>
      <c r="H354" s="3">
        <v>20729388</v>
      </c>
      <c r="I354" s="2">
        <v>59.282985103081671</v>
      </c>
    </row>
    <row r="355" spans="1:9" x14ac:dyDescent="0.3">
      <c r="A355" s="4" t="s">
        <v>39</v>
      </c>
      <c r="B355" s="3">
        <v>2003</v>
      </c>
      <c r="C355" s="4" t="s">
        <v>70</v>
      </c>
      <c r="D355" s="4" t="s">
        <v>5</v>
      </c>
      <c r="E355" s="3">
        <v>1939</v>
      </c>
      <c r="F355" s="3">
        <f>Merge2[[#This Row],[Coverage]]*100</f>
        <v>80</v>
      </c>
      <c r="G355" s="1">
        <v>0.8</v>
      </c>
      <c r="H355" s="3">
        <v>21296705</v>
      </c>
      <c r="I355" s="2">
        <v>9.104694834247832</v>
      </c>
    </row>
    <row r="356" spans="1:9" x14ac:dyDescent="0.3">
      <c r="A356" s="4" t="s">
        <v>39</v>
      </c>
      <c r="B356" s="3">
        <v>2004</v>
      </c>
      <c r="C356" s="4" t="s">
        <v>70</v>
      </c>
      <c r="D356" s="4" t="s">
        <v>5</v>
      </c>
      <c r="E356" s="3">
        <v>60</v>
      </c>
      <c r="F356" s="3">
        <f>Merge2[[#This Row],[Coverage]]*100</f>
        <v>83</v>
      </c>
      <c r="G356" s="1">
        <v>0.83</v>
      </c>
      <c r="H356" s="3">
        <v>21868298</v>
      </c>
      <c r="I356" s="2">
        <v>0.27436977491343861</v>
      </c>
    </row>
    <row r="357" spans="1:9" x14ac:dyDescent="0.3">
      <c r="A357" s="4" t="s">
        <v>39</v>
      </c>
      <c r="B357" s="3">
        <v>2005</v>
      </c>
      <c r="C357" s="4" t="s">
        <v>70</v>
      </c>
      <c r="D357" s="4" t="s">
        <v>5</v>
      </c>
      <c r="E357" s="3">
        <v>435</v>
      </c>
      <c r="F357" s="3">
        <f>Merge2[[#This Row],[Coverage]]*100</f>
        <v>83</v>
      </c>
      <c r="G357" s="1">
        <v>0.83</v>
      </c>
      <c r="H357" s="3">
        <v>22449438</v>
      </c>
      <c r="I357" s="2">
        <v>1.9376877051443337</v>
      </c>
    </row>
    <row r="358" spans="1:9" x14ac:dyDescent="0.3">
      <c r="A358" s="4" t="s">
        <v>39</v>
      </c>
      <c r="B358" s="3">
        <v>2006</v>
      </c>
      <c r="C358" s="4" t="s">
        <v>70</v>
      </c>
      <c r="D358" s="4" t="s">
        <v>5</v>
      </c>
      <c r="E358" s="3">
        <v>420</v>
      </c>
      <c r="F358" s="3">
        <f>Merge2[[#This Row],[Coverage]]*100</f>
        <v>85</v>
      </c>
      <c r="G358" s="1">
        <v>0.85</v>
      </c>
      <c r="H358" s="3">
        <v>23040702</v>
      </c>
      <c r="I358" s="2">
        <v>1.8228611263667229</v>
      </c>
    </row>
    <row r="359" spans="1:9" x14ac:dyDescent="0.3">
      <c r="A359" s="4" t="s">
        <v>39</v>
      </c>
      <c r="B359" s="3">
        <v>2007</v>
      </c>
      <c r="C359" s="4" t="s">
        <v>70</v>
      </c>
      <c r="D359" s="4" t="s">
        <v>5</v>
      </c>
      <c r="E359" s="3">
        <v>6</v>
      </c>
      <c r="F359" s="3">
        <f>Merge2[[#This Row],[Coverage]]*100</f>
        <v>95</v>
      </c>
      <c r="G359" s="1">
        <v>0.95</v>
      </c>
      <c r="H359" s="3">
        <v>23642279</v>
      </c>
      <c r="I359" s="2">
        <v>2.5378264083593633E-2</v>
      </c>
    </row>
    <row r="360" spans="1:9" x14ac:dyDescent="0.3">
      <c r="A360" s="4" t="s">
        <v>39</v>
      </c>
      <c r="B360" s="3">
        <v>2008</v>
      </c>
      <c r="C360" s="4" t="s">
        <v>70</v>
      </c>
      <c r="D360" s="4" t="s">
        <v>5</v>
      </c>
      <c r="E360" s="3">
        <v>82</v>
      </c>
      <c r="F360" s="3">
        <f>Merge2[[#This Row],[Coverage]]*100</f>
        <v>86</v>
      </c>
      <c r="G360" s="1">
        <v>0.86</v>
      </c>
      <c r="H360" s="3">
        <v>24249946</v>
      </c>
      <c r="I360" s="2">
        <v>0.33814508287977219</v>
      </c>
    </row>
    <row r="361" spans="1:9" x14ac:dyDescent="0.3">
      <c r="A361" s="4" t="s">
        <v>39</v>
      </c>
      <c r="B361" s="3">
        <v>2009</v>
      </c>
      <c r="C361" s="4" t="s">
        <v>70</v>
      </c>
      <c r="D361" s="4" t="s">
        <v>5</v>
      </c>
      <c r="E361" s="3">
        <v>101</v>
      </c>
      <c r="F361" s="3">
        <f>Merge2[[#This Row],[Coverage]]*100</f>
        <v>93</v>
      </c>
      <c r="G361" s="1">
        <v>0.93</v>
      </c>
      <c r="H361" s="3">
        <v>24862664</v>
      </c>
      <c r="I361" s="2">
        <v>0.40623160896998001</v>
      </c>
    </row>
    <row r="362" spans="1:9" x14ac:dyDescent="0.3">
      <c r="A362" s="4" t="s">
        <v>39</v>
      </c>
      <c r="B362" s="3">
        <v>2010</v>
      </c>
      <c r="C362" s="4" t="s">
        <v>70</v>
      </c>
      <c r="D362" s="4" t="s">
        <v>5</v>
      </c>
      <c r="E362" s="3">
        <v>641</v>
      </c>
      <c r="F362" s="3">
        <f>Merge2[[#This Row],[Coverage]]*100</f>
        <v>93</v>
      </c>
      <c r="G362" s="1">
        <v>0.93</v>
      </c>
      <c r="H362" s="3">
        <v>25474995</v>
      </c>
      <c r="I362" s="2">
        <v>2.5161928392920192</v>
      </c>
    </row>
    <row r="363" spans="1:9" x14ac:dyDescent="0.3">
      <c r="A363" s="4" t="s">
        <v>39</v>
      </c>
      <c r="B363" s="3">
        <v>2011</v>
      </c>
      <c r="C363" s="4" t="s">
        <v>70</v>
      </c>
      <c r="D363" s="4" t="s">
        <v>5</v>
      </c>
      <c r="E363" s="3">
        <v>120</v>
      </c>
      <c r="F363" s="3">
        <f>Merge2[[#This Row],[Coverage]]*100</f>
        <v>91</v>
      </c>
      <c r="G363" s="1">
        <v>0.91</v>
      </c>
      <c r="H363" s="3">
        <v>26095088</v>
      </c>
      <c r="I363" s="2">
        <v>0.45985665961348737</v>
      </c>
    </row>
    <row r="364" spans="1:9" x14ac:dyDescent="0.3">
      <c r="A364" s="4" t="s">
        <v>39</v>
      </c>
      <c r="B364" s="3">
        <v>2012</v>
      </c>
      <c r="C364" s="4" t="s">
        <v>70</v>
      </c>
      <c r="D364" s="4" t="s">
        <v>5</v>
      </c>
      <c r="E364" s="3">
        <v>1613</v>
      </c>
      <c r="F364" s="3">
        <f>Merge2[[#This Row],[Coverage]]*100</f>
        <v>89</v>
      </c>
      <c r="G364" s="1">
        <v>0.89</v>
      </c>
      <c r="H364" s="3">
        <v>26734268</v>
      </c>
      <c r="I364" s="2">
        <v>6.0334548901806473</v>
      </c>
    </row>
    <row r="365" spans="1:9" x14ac:dyDescent="0.3">
      <c r="A365" s="4" t="s">
        <v>39</v>
      </c>
      <c r="B365" s="3">
        <v>2013</v>
      </c>
      <c r="C365" s="4" t="s">
        <v>70</v>
      </c>
      <c r="D365" s="4" t="s">
        <v>5</v>
      </c>
      <c r="E365" s="3">
        <v>319</v>
      </c>
      <c r="F365" s="3">
        <f>Merge2[[#This Row],[Coverage]]*100</f>
        <v>89</v>
      </c>
      <c r="G365" s="1">
        <v>0.89</v>
      </c>
      <c r="H365" s="3">
        <v>27386193</v>
      </c>
      <c r="I365" s="2">
        <v>1.1648205356618937</v>
      </c>
    </row>
    <row r="366" spans="1:9" x14ac:dyDescent="0.3">
      <c r="A366" s="4" t="s">
        <v>39</v>
      </c>
      <c r="B366" s="3">
        <v>2014</v>
      </c>
      <c r="C366" s="4" t="s">
        <v>70</v>
      </c>
      <c r="D366" s="4" t="s">
        <v>5</v>
      </c>
      <c r="E366" s="3">
        <v>124</v>
      </c>
      <c r="F366" s="3">
        <f>Merge2[[#This Row],[Coverage]]*100</f>
        <v>92</v>
      </c>
      <c r="G366" s="1">
        <v>0.92</v>
      </c>
      <c r="H366" s="3">
        <v>28041592</v>
      </c>
      <c r="I366" s="2">
        <v>0.44220028591814614</v>
      </c>
    </row>
    <row r="367" spans="1:9" x14ac:dyDescent="0.3">
      <c r="A367" s="4" t="s">
        <v>39</v>
      </c>
      <c r="B367" s="3">
        <v>2015</v>
      </c>
      <c r="C367" s="4" t="s">
        <v>70</v>
      </c>
      <c r="D367" s="4" t="s">
        <v>5</v>
      </c>
      <c r="E367" s="3">
        <v>23</v>
      </c>
      <c r="F367" s="3">
        <f>Merge2[[#This Row],[Coverage]]*100</f>
        <v>89</v>
      </c>
      <c r="G367" s="1">
        <v>0.89</v>
      </c>
      <c r="H367" s="3">
        <v>28696068</v>
      </c>
      <c r="I367" s="2">
        <v>8.0150353700026072E-2</v>
      </c>
    </row>
    <row r="368" spans="1:9" x14ac:dyDescent="0.3">
      <c r="A368" s="4" t="s">
        <v>39</v>
      </c>
      <c r="B368" s="3">
        <v>2016</v>
      </c>
      <c r="C368" s="4" t="s">
        <v>70</v>
      </c>
      <c r="D368" s="4" t="s">
        <v>5</v>
      </c>
      <c r="E368" s="3">
        <v>32</v>
      </c>
      <c r="F368" s="3">
        <f>Merge2[[#This Row],[Coverage]]*100</f>
        <v>89</v>
      </c>
      <c r="G368" s="1">
        <v>0.89</v>
      </c>
      <c r="H368" s="3">
        <v>29356742</v>
      </c>
      <c r="I368" s="2">
        <v>0.10900392148420283</v>
      </c>
    </row>
    <row r="369" spans="1:9" x14ac:dyDescent="0.3">
      <c r="A369" s="4" t="s">
        <v>39</v>
      </c>
      <c r="B369" s="3">
        <v>2017</v>
      </c>
      <c r="C369" s="4" t="s">
        <v>70</v>
      </c>
      <c r="D369" s="4" t="s">
        <v>5</v>
      </c>
      <c r="E369" s="3">
        <v>19</v>
      </c>
      <c r="F369" s="3">
        <f>Merge2[[#This Row],[Coverage]]*100</f>
        <v>95</v>
      </c>
      <c r="G369" s="1">
        <v>0.95</v>
      </c>
      <c r="H369" s="3">
        <v>30008354</v>
      </c>
      <c r="I369" s="2">
        <v>6.3315702020843939E-2</v>
      </c>
    </row>
    <row r="370" spans="1:9" x14ac:dyDescent="0.3">
      <c r="A370" s="4" t="s">
        <v>39</v>
      </c>
      <c r="B370" s="3">
        <v>2018</v>
      </c>
      <c r="C370" s="4" t="s">
        <v>70</v>
      </c>
      <c r="D370" s="4" t="s">
        <v>5</v>
      </c>
      <c r="E370" s="3">
        <v>34</v>
      </c>
      <c r="F370" s="3">
        <f>Merge2[[#This Row],[Coverage]]*100</f>
        <v>92</v>
      </c>
      <c r="G370" s="1">
        <v>0.92</v>
      </c>
      <c r="H370" s="3">
        <v>30637585</v>
      </c>
      <c r="I370" s="2">
        <v>0.11097480431306841</v>
      </c>
    </row>
    <row r="371" spans="1:9" x14ac:dyDescent="0.3">
      <c r="A371" s="4" t="s">
        <v>39</v>
      </c>
      <c r="B371" s="3">
        <v>2019</v>
      </c>
      <c r="C371" s="4" t="s">
        <v>70</v>
      </c>
      <c r="D371" s="4" t="s">
        <v>5</v>
      </c>
      <c r="E371" s="3">
        <v>1274</v>
      </c>
      <c r="F371" s="3">
        <f>Merge2[[#This Row],[Coverage]]*100</f>
        <v>92</v>
      </c>
      <c r="G371" s="1">
        <v>0.92</v>
      </c>
      <c r="H371" s="3">
        <v>31258945</v>
      </c>
      <c r="I371" s="2">
        <v>4.0756333906982469</v>
      </c>
    </row>
    <row r="372" spans="1:9" x14ac:dyDescent="0.3">
      <c r="A372" s="4" t="s">
        <v>39</v>
      </c>
      <c r="B372" s="3">
        <v>2020</v>
      </c>
      <c r="C372" s="4" t="s">
        <v>70</v>
      </c>
      <c r="D372" s="4" t="s">
        <v>5</v>
      </c>
      <c r="E372" s="3">
        <v>88</v>
      </c>
      <c r="F372" s="3">
        <f>Merge2[[#This Row],[Coverage]]*100</f>
        <v>88</v>
      </c>
      <c r="G372" s="1">
        <v>0.88</v>
      </c>
      <c r="H372" s="3">
        <v>31887809</v>
      </c>
      <c r="I372" s="2">
        <v>0.27596753354863607</v>
      </c>
    </row>
    <row r="373" spans="1:9" x14ac:dyDescent="0.3">
      <c r="A373" s="4" t="s">
        <v>39</v>
      </c>
      <c r="B373" s="3">
        <v>2021</v>
      </c>
      <c r="C373" s="4" t="s">
        <v>70</v>
      </c>
      <c r="D373" s="4" t="s">
        <v>5</v>
      </c>
      <c r="E373" s="3">
        <v>52</v>
      </c>
      <c r="F373" s="3">
        <f>Merge2[[#This Row],[Coverage]]*100</f>
        <v>94</v>
      </c>
      <c r="G373" s="1">
        <v>0.94</v>
      </c>
      <c r="H373" s="3">
        <v>32518665</v>
      </c>
      <c r="I373" s="2">
        <v>0.15990816351163248</v>
      </c>
    </row>
    <row r="374" spans="1:9" x14ac:dyDescent="0.3">
      <c r="A374" s="4" t="s">
        <v>39</v>
      </c>
      <c r="B374" s="3">
        <v>2022</v>
      </c>
      <c r="C374" s="4" t="s">
        <v>70</v>
      </c>
      <c r="D374" s="4" t="s">
        <v>5</v>
      </c>
      <c r="E374" s="3">
        <v>395</v>
      </c>
      <c r="F374" s="3">
        <f>Merge2[[#This Row],[Coverage]]*100</f>
        <v>95</v>
      </c>
      <c r="G374" s="1">
        <v>0.95</v>
      </c>
      <c r="H374" s="3">
        <v>33149152</v>
      </c>
      <c r="I374" s="2">
        <v>1.1915840260408472</v>
      </c>
    </row>
    <row r="375" spans="1:9" x14ac:dyDescent="0.3">
      <c r="A375" s="4" t="s">
        <v>39</v>
      </c>
      <c r="B375" s="3">
        <v>2023</v>
      </c>
      <c r="C375" s="4" t="s">
        <v>70</v>
      </c>
      <c r="D375" s="4" t="s">
        <v>5</v>
      </c>
      <c r="E375" s="3">
        <v>2282</v>
      </c>
      <c r="F375" s="3">
        <f>Merge2[[#This Row],[Coverage]]*100</f>
        <v>90</v>
      </c>
      <c r="G375" s="1">
        <v>0.9</v>
      </c>
      <c r="H375" s="3">
        <v>33787914</v>
      </c>
      <c r="I375" s="2">
        <v>6.7538943067038701</v>
      </c>
    </row>
    <row r="376" spans="1:9" x14ac:dyDescent="0.3">
      <c r="A376" s="4" t="s">
        <v>39</v>
      </c>
      <c r="B376" s="3">
        <v>2024</v>
      </c>
      <c r="C376" s="4" t="s">
        <v>70</v>
      </c>
      <c r="D376" s="4" t="s">
        <v>5</v>
      </c>
      <c r="E376" s="3">
        <v>1944</v>
      </c>
      <c r="F376" s="3">
        <f>Merge2[[#This Row],[Coverage]]*100</f>
        <v>90</v>
      </c>
      <c r="G376" s="1">
        <v>0.9</v>
      </c>
      <c r="H376" s="3">
        <v>34427414</v>
      </c>
      <c r="I376" s="2">
        <v>5.6466628600103395</v>
      </c>
    </row>
    <row r="377" spans="1:9" x14ac:dyDescent="0.3">
      <c r="A377" s="4" t="s">
        <v>40</v>
      </c>
      <c r="B377" s="3">
        <v>2000</v>
      </c>
      <c r="C377" s="4" t="s">
        <v>71</v>
      </c>
      <c r="D377" s="4" t="s">
        <v>5</v>
      </c>
      <c r="E377" s="3">
        <v>11294</v>
      </c>
      <c r="F377" s="3">
        <f>Merge2[[#This Row],[Coverage]]*100</f>
        <v>42</v>
      </c>
      <c r="G377" s="1">
        <v>0.42</v>
      </c>
      <c r="H377" s="3">
        <v>8428832</v>
      </c>
      <c r="I377" s="2">
        <v>133.9924677582849</v>
      </c>
    </row>
    <row r="378" spans="1:9" x14ac:dyDescent="0.3">
      <c r="A378" s="4" t="s">
        <v>40</v>
      </c>
      <c r="B378" s="3">
        <v>2001</v>
      </c>
      <c r="C378" s="4" t="s">
        <v>71</v>
      </c>
      <c r="D378" s="4" t="s">
        <v>5</v>
      </c>
      <c r="E378" s="3">
        <v>7408</v>
      </c>
      <c r="F378" s="3">
        <f>Merge2[[#This Row],[Coverage]]*100</f>
        <v>44</v>
      </c>
      <c r="G378" s="1">
        <v>0.44</v>
      </c>
      <c r="H378" s="3">
        <v>8539960</v>
      </c>
      <c r="I378" s="2">
        <v>86.745136979564307</v>
      </c>
    </row>
    <row r="379" spans="1:9" x14ac:dyDescent="0.3">
      <c r="A379" s="4" t="s">
        <v>40</v>
      </c>
      <c r="B379" s="3">
        <v>2002</v>
      </c>
      <c r="C379" s="4" t="s">
        <v>71</v>
      </c>
      <c r="D379" s="4" t="s">
        <v>5</v>
      </c>
      <c r="E379" s="3">
        <v>2151</v>
      </c>
      <c r="F379" s="3">
        <f>Merge2[[#This Row],[Coverage]]*100</f>
        <v>46</v>
      </c>
      <c r="G379" s="1">
        <v>0.46</v>
      </c>
      <c r="H379" s="3">
        <v>8674066</v>
      </c>
      <c r="I379" s="2">
        <v>24.798058949516868</v>
      </c>
    </row>
    <row r="380" spans="1:9" x14ac:dyDescent="0.3">
      <c r="A380" s="4" t="s">
        <v>40</v>
      </c>
      <c r="B380" s="3">
        <v>2003</v>
      </c>
      <c r="C380" s="4" t="s">
        <v>71</v>
      </c>
      <c r="D380" s="4" t="s">
        <v>5</v>
      </c>
      <c r="E380" s="3">
        <v>2497</v>
      </c>
      <c r="F380" s="3">
        <f>Merge2[[#This Row],[Coverage]]*100</f>
        <v>48</v>
      </c>
      <c r="G380" s="1">
        <v>0.48</v>
      </c>
      <c r="H380" s="3">
        <v>8870781</v>
      </c>
      <c r="I380" s="2">
        <v>28.14859255346288</v>
      </c>
    </row>
    <row r="381" spans="1:9" x14ac:dyDescent="0.3">
      <c r="A381" s="4" t="s">
        <v>40</v>
      </c>
      <c r="B381" s="3">
        <v>2004</v>
      </c>
      <c r="C381" s="4" t="s">
        <v>71</v>
      </c>
      <c r="D381" s="4" t="s">
        <v>5</v>
      </c>
      <c r="E381" s="3">
        <v>10</v>
      </c>
      <c r="F381" s="3">
        <f>Merge2[[#This Row],[Coverage]]*100</f>
        <v>50</v>
      </c>
      <c r="G381" s="1">
        <v>0.5</v>
      </c>
      <c r="H381" s="3">
        <v>9062726</v>
      </c>
      <c r="I381" s="2">
        <v>0.11034207588312832</v>
      </c>
    </row>
    <row r="382" spans="1:9" x14ac:dyDescent="0.3">
      <c r="A382" s="4" t="s">
        <v>40</v>
      </c>
      <c r="B382" s="3">
        <v>2005</v>
      </c>
      <c r="C382" s="4" t="s">
        <v>71</v>
      </c>
      <c r="D382" s="4" t="s">
        <v>5</v>
      </c>
      <c r="E382" s="3">
        <v>99</v>
      </c>
      <c r="F382" s="3">
        <f>Merge2[[#This Row],[Coverage]]*100</f>
        <v>51</v>
      </c>
      <c r="G382" s="1">
        <v>0.51</v>
      </c>
      <c r="H382" s="3">
        <v>9245844</v>
      </c>
      <c r="I382" s="2">
        <v>1.0707513559605808</v>
      </c>
    </row>
    <row r="383" spans="1:9" x14ac:dyDescent="0.3">
      <c r="A383" s="4" t="s">
        <v>40</v>
      </c>
      <c r="B383" s="3">
        <v>2006</v>
      </c>
      <c r="C383" s="4" t="s">
        <v>71</v>
      </c>
      <c r="D383" s="4" t="s">
        <v>5</v>
      </c>
      <c r="E383" s="3">
        <v>4</v>
      </c>
      <c r="F383" s="3">
        <f>Merge2[[#This Row],[Coverage]]*100</f>
        <v>51</v>
      </c>
      <c r="G383" s="1">
        <v>0.51</v>
      </c>
      <c r="H383" s="3">
        <v>9441171</v>
      </c>
      <c r="I383" s="2">
        <v>4.236762579557133E-2</v>
      </c>
    </row>
    <row r="384" spans="1:9" x14ac:dyDescent="0.3">
      <c r="A384" s="4" t="s">
        <v>40</v>
      </c>
      <c r="B384" s="3">
        <v>2007</v>
      </c>
      <c r="C384" s="4" t="s">
        <v>71</v>
      </c>
      <c r="D384" s="4" t="s">
        <v>5</v>
      </c>
      <c r="E384" s="3">
        <v>3</v>
      </c>
      <c r="F384" s="3">
        <f>Merge2[[#This Row],[Coverage]]*100</f>
        <v>56.999999999999993</v>
      </c>
      <c r="G384" s="1">
        <v>0.56999999999999995</v>
      </c>
      <c r="H384" s="3">
        <v>9662281</v>
      </c>
      <c r="I384" s="2">
        <v>3.1048569173262507E-2</v>
      </c>
    </row>
    <row r="385" spans="1:9" x14ac:dyDescent="0.3">
      <c r="A385" s="4" t="s">
        <v>40</v>
      </c>
      <c r="B385" s="3">
        <v>2008</v>
      </c>
      <c r="C385" s="4" t="s">
        <v>71</v>
      </c>
      <c r="D385" s="4" t="s">
        <v>5</v>
      </c>
      <c r="E385" s="3">
        <v>89</v>
      </c>
      <c r="F385" s="3">
        <f>Merge2[[#This Row],[Coverage]]*100</f>
        <v>55.000000000000007</v>
      </c>
      <c r="G385" s="1">
        <v>0.55000000000000004</v>
      </c>
      <c r="H385" s="3">
        <v>9898870</v>
      </c>
      <c r="I385" s="2">
        <v>0.89909252268188189</v>
      </c>
    </row>
    <row r="386" spans="1:9" x14ac:dyDescent="0.3">
      <c r="A386" s="4" t="s">
        <v>40</v>
      </c>
      <c r="B386" s="3">
        <v>2009</v>
      </c>
      <c r="C386" s="4" t="s">
        <v>71</v>
      </c>
      <c r="D386" s="4" t="s">
        <v>5</v>
      </c>
      <c r="E386" s="3">
        <v>264</v>
      </c>
      <c r="F386" s="3">
        <f>Merge2[[#This Row],[Coverage]]*100</f>
        <v>53</v>
      </c>
      <c r="G386" s="1">
        <v>0.53</v>
      </c>
      <c r="H386" s="3">
        <v>10143534</v>
      </c>
      <c r="I386" s="2">
        <v>2.6026432207946462</v>
      </c>
    </row>
    <row r="387" spans="1:9" x14ac:dyDescent="0.3">
      <c r="A387" s="4" t="s">
        <v>40</v>
      </c>
      <c r="B387" s="3">
        <v>2010</v>
      </c>
      <c r="C387" s="4" t="s">
        <v>71</v>
      </c>
      <c r="D387" s="4" t="s">
        <v>5</v>
      </c>
      <c r="E387" s="3">
        <v>45</v>
      </c>
      <c r="F387" s="3">
        <f>Merge2[[#This Row],[Coverage]]*100</f>
        <v>57.999999999999993</v>
      </c>
      <c r="G387" s="1">
        <v>0.57999999999999996</v>
      </c>
      <c r="H387" s="3">
        <v>10396086</v>
      </c>
      <c r="I387" s="2">
        <v>0.43285521108617225</v>
      </c>
    </row>
    <row r="388" spans="1:9" x14ac:dyDescent="0.3">
      <c r="A388" s="4" t="s">
        <v>40</v>
      </c>
      <c r="B388" s="3">
        <v>2011</v>
      </c>
      <c r="C388" s="4" t="s">
        <v>71</v>
      </c>
      <c r="D388" s="4" t="s">
        <v>5</v>
      </c>
      <c r="E388" s="3">
        <v>11</v>
      </c>
      <c r="F388" s="3">
        <f>Merge2[[#This Row],[Coverage]]*100</f>
        <v>62</v>
      </c>
      <c r="G388" s="1">
        <v>0.62</v>
      </c>
      <c r="H388" s="3">
        <v>10656810</v>
      </c>
      <c r="I388" s="2">
        <v>0.10322038208431979</v>
      </c>
    </row>
    <row r="389" spans="1:9" x14ac:dyDescent="0.3">
      <c r="A389" s="4" t="s">
        <v>40</v>
      </c>
      <c r="B389" s="3">
        <v>2012</v>
      </c>
      <c r="C389" s="4" t="s">
        <v>71</v>
      </c>
      <c r="D389" s="4" t="s">
        <v>5</v>
      </c>
      <c r="E389" s="3">
        <v>6</v>
      </c>
      <c r="F389" s="3">
        <f>Merge2[[#This Row],[Coverage]]*100</f>
        <v>57.999999999999993</v>
      </c>
      <c r="G389" s="1">
        <v>0.57999999999999996</v>
      </c>
      <c r="H389" s="3">
        <v>10921581</v>
      </c>
      <c r="I389" s="2">
        <v>5.4937101139477883E-2</v>
      </c>
    </row>
    <row r="390" spans="1:9" x14ac:dyDescent="0.3">
      <c r="A390" s="4" t="s">
        <v>40</v>
      </c>
      <c r="B390" s="3">
        <v>2013</v>
      </c>
      <c r="C390" s="4" t="s">
        <v>71</v>
      </c>
      <c r="D390" s="4" t="s">
        <v>5</v>
      </c>
      <c r="E390" s="3">
        <v>53</v>
      </c>
      <c r="F390" s="3">
        <f>Merge2[[#This Row],[Coverage]]*100</f>
        <v>55.000000000000007</v>
      </c>
      <c r="G390" s="1">
        <v>0.55000000000000004</v>
      </c>
      <c r="H390" s="3">
        <v>11191873</v>
      </c>
      <c r="I390" s="2">
        <v>0.47355791117358098</v>
      </c>
    </row>
    <row r="391" spans="1:9" x14ac:dyDescent="0.3">
      <c r="A391" s="4" t="s">
        <v>40</v>
      </c>
      <c r="B391" s="3">
        <v>2014</v>
      </c>
      <c r="C391" s="4" t="s">
        <v>71</v>
      </c>
      <c r="D391" s="4" t="s">
        <v>5</v>
      </c>
      <c r="E391" s="3">
        <v>175</v>
      </c>
      <c r="F391" s="3">
        <f>Merge2[[#This Row],[Coverage]]*100</f>
        <v>51</v>
      </c>
      <c r="G391" s="1">
        <v>0.51</v>
      </c>
      <c r="H391" s="3">
        <v>11472924</v>
      </c>
      <c r="I391" s="2">
        <v>1.525330421433978</v>
      </c>
    </row>
    <row r="392" spans="1:9" x14ac:dyDescent="0.3">
      <c r="A392" s="4" t="s">
        <v>40</v>
      </c>
      <c r="B392" s="3">
        <v>2015</v>
      </c>
      <c r="C392" s="4" t="s">
        <v>71</v>
      </c>
      <c r="D392" s="4" t="s">
        <v>5</v>
      </c>
      <c r="E392" s="3">
        <v>243</v>
      </c>
      <c r="F392" s="3">
        <f>Merge2[[#This Row],[Coverage]]*100</f>
        <v>47</v>
      </c>
      <c r="G392" s="1">
        <v>0.47</v>
      </c>
      <c r="H392" s="3">
        <v>11767070</v>
      </c>
      <c r="I392" s="2">
        <v>2.0650850211649967</v>
      </c>
    </row>
    <row r="393" spans="1:9" x14ac:dyDescent="0.3">
      <c r="A393" s="4" t="s">
        <v>40</v>
      </c>
      <c r="B393" s="3">
        <v>2016</v>
      </c>
      <c r="C393" s="4" t="s">
        <v>71</v>
      </c>
      <c r="D393" s="4" t="s">
        <v>5</v>
      </c>
      <c r="E393" s="3">
        <v>316</v>
      </c>
      <c r="F393" s="3">
        <f>Merge2[[#This Row],[Coverage]]*100</f>
        <v>48</v>
      </c>
      <c r="G393" s="1">
        <v>0.48</v>
      </c>
      <c r="H393" s="3">
        <v>12073030</v>
      </c>
      <c r="I393" s="2">
        <v>2.6174042473181962</v>
      </c>
    </row>
    <row r="394" spans="1:9" x14ac:dyDescent="0.3">
      <c r="A394" s="4" t="s">
        <v>40</v>
      </c>
      <c r="B394" s="3">
        <v>2017</v>
      </c>
      <c r="C394" s="4" t="s">
        <v>71</v>
      </c>
      <c r="D394" s="4" t="s">
        <v>5</v>
      </c>
      <c r="E394" s="3">
        <v>2036</v>
      </c>
      <c r="F394" s="3">
        <f>Merge2[[#This Row],[Coverage]]*100</f>
        <v>48</v>
      </c>
      <c r="G394" s="1">
        <v>0.48</v>
      </c>
      <c r="H394" s="3">
        <v>12385659</v>
      </c>
      <c r="I394" s="2">
        <v>16.438366339651367</v>
      </c>
    </row>
    <row r="395" spans="1:9" x14ac:dyDescent="0.3">
      <c r="A395" s="4" t="s">
        <v>40</v>
      </c>
      <c r="B395" s="3">
        <v>2018</v>
      </c>
      <c r="C395" s="4" t="s">
        <v>71</v>
      </c>
      <c r="D395" s="4" t="s">
        <v>5</v>
      </c>
      <c r="E395" s="3">
        <v>482</v>
      </c>
      <c r="F395" s="3">
        <f>Merge2[[#This Row],[Coverage]]*100</f>
        <v>49</v>
      </c>
      <c r="G395" s="1">
        <v>0.49</v>
      </c>
      <c r="H395" s="3">
        <v>12704774</v>
      </c>
      <c r="I395" s="2">
        <v>3.7938494616275742</v>
      </c>
    </row>
    <row r="396" spans="1:9" x14ac:dyDescent="0.3">
      <c r="A396" s="4" t="s">
        <v>40</v>
      </c>
      <c r="B396" s="3">
        <v>2019</v>
      </c>
      <c r="C396" s="4" t="s">
        <v>71</v>
      </c>
      <c r="D396" s="4" t="s">
        <v>5</v>
      </c>
      <c r="E396" s="3">
        <v>4555</v>
      </c>
      <c r="F396" s="3">
        <f>Merge2[[#This Row],[Coverage]]*100</f>
        <v>50</v>
      </c>
      <c r="G396" s="1">
        <v>0.5</v>
      </c>
      <c r="H396" s="3">
        <v>13034346</v>
      </c>
      <c r="I396" s="2">
        <v>34.946133852822378</v>
      </c>
    </row>
    <row r="397" spans="1:9" x14ac:dyDescent="0.3">
      <c r="A397" s="4" t="s">
        <v>40</v>
      </c>
      <c r="B397" s="3">
        <v>2020</v>
      </c>
      <c r="C397" s="4" t="s">
        <v>71</v>
      </c>
      <c r="D397" s="4" t="s">
        <v>5</v>
      </c>
      <c r="E397" s="3">
        <v>506</v>
      </c>
      <c r="F397" s="3">
        <f>Merge2[[#This Row],[Coverage]]*100</f>
        <v>50</v>
      </c>
      <c r="G397" s="1">
        <v>0.5</v>
      </c>
      <c r="H397" s="3">
        <v>13371183</v>
      </c>
      <c r="I397" s="2">
        <v>3.784257533533121</v>
      </c>
    </row>
    <row r="398" spans="1:9" x14ac:dyDescent="0.3">
      <c r="A398" s="4" t="s">
        <v>40</v>
      </c>
      <c r="B398" s="3">
        <v>2021</v>
      </c>
      <c r="C398" s="4" t="s">
        <v>71</v>
      </c>
      <c r="D398" s="4" t="s">
        <v>5</v>
      </c>
      <c r="E398" s="3">
        <v>505</v>
      </c>
      <c r="F398" s="3">
        <f>Merge2[[#This Row],[Coverage]]*100</f>
        <v>51</v>
      </c>
      <c r="G398" s="1">
        <v>0.51</v>
      </c>
      <c r="H398" s="3">
        <v>13710513</v>
      </c>
      <c r="I398" s="2">
        <v>3.6833049208297313</v>
      </c>
    </row>
    <row r="399" spans="1:9" x14ac:dyDescent="0.3">
      <c r="A399" s="4" t="s">
        <v>40</v>
      </c>
      <c r="B399" s="3">
        <v>2022</v>
      </c>
      <c r="C399" s="4" t="s">
        <v>71</v>
      </c>
      <c r="D399" s="4" t="s">
        <v>5</v>
      </c>
      <c r="E399" s="3">
        <v>417</v>
      </c>
      <c r="F399" s="3">
        <f>Merge2[[#This Row],[Coverage]]*100</f>
        <v>51</v>
      </c>
      <c r="G399" s="1">
        <v>0.51</v>
      </c>
      <c r="H399" s="3">
        <v>14055137</v>
      </c>
      <c r="I399" s="2">
        <v>2.9668867688731884</v>
      </c>
    </row>
    <row r="400" spans="1:9" x14ac:dyDescent="0.3">
      <c r="A400" s="4" t="s">
        <v>40</v>
      </c>
      <c r="B400" s="3">
        <v>2023</v>
      </c>
      <c r="C400" s="4" t="s">
        <v>71</v>
      </c>
      <c r="D400" s="4" t="s">
        <v>5</v>
      </c>
      <c r="E400" s="3">
        <v>94</v>
      </c>
      <c r="F400" s="3">
        <f>Merge2[[#This Row],[Coverage]]*100</f>
        <v>52</v>
      </c>
      <c r="G400" s="1">
        <v>0.52</v>
      </c>
      <c r="H400" s="3">
        <v>14405468</v>
      </c>
      <c r="I400" s="2">
        <v>0.65252999763700836</v>
      </c>
    </row>
    <row r="401" spans="1:9" x14ac:dyDescent="0.3">
      <c r="A401" s="4" t="s">
        <v>40</v>
      </c>
      <c r="B401" s="3">
        <v>2024</v>
      </c>
      <c r="C401" s="4" t="s">
        <v>71</v>
      </c>
      <c r="D401" s="4" t="s">
        <v>5</v>
      </c>
      <c r="E401" s="3">
        <v>577</v>
      </c>
      <c r="F401" s="3">
        <f>Merge2[[#This Row],[Coverage]]*100</f>
        <v>60</v>
      </c>
      <c r="G401" s="1">
        <v>0.6</v>
      </c>
      <c r="H401" s="3">
        <v>14754785</v>
      </c>
      <c r="I401" s="2">
        <v>3.9105957829951432</v>
      </c>
    </row>
    <row r="402" spans="1:9" x14ac:dyDescent="0.3">
      <c r="A402" s="4" t="s">
        <v>38</v>
      </c>
      <c r="B402" s="3">
        <v>2000</v>
      </c>
      <c r="C402" s="4" t="s">
        <v>72</v>
      </c>
      <c r="D402" s="4" t="s">
        <v>5</v>
      </c>
      <c r="E402" s="3">
        <v>336</v>
      </c>
      <c r="F402" s="3">
        <f>Merge2[[#This Row],[Coverage]]*100</f>
        <v>89</v>
      </c>
      <c r="G402" s="1">
        <v>0.89</v>
      </c>
      <c r="H402" s="3">
        <v>1455084</v>
      </c>
      <c r="I402" s="2">
        <v>23.09145039049292</v>
      </c>
    </row>
    <row r="403" spans="1:9" x14ac:dyDescent="0.3">
      <c r="A403" s="4" t="s">
        <v>38</v>
      </c>
      <c r="B403" s="3">
        <v>2001</v>
      </c>
      <c r="C403" s="4" t="s">
        <v>72</v>
      </c>
      <c r="D403" s="4" t="s">
        <v>5</v>
      </c>
      <c r="E403" s="3">
        <v>99</v>
      </c>
      <c r="F403" s="3">
        <f>Merge2[[#This Row],[Coverage]]*100</f>
        <v>89</v>
      </c>
      <c r="G403" s="1">
        <v>0.89</v>
      </c>
      <c r="H403" s="3">
        <v>1495011</v>
      </c>
      <c r="I403" s="2">
        <v>6.6220248546666216</v>
      </c>
    </row>
    <row r="404" spans="1:9" x14ac:dyDescent="0.3">
      <c r="A404" s="4" t="s">
        <v>38</v>
      </c>
      <c r="B404" s="3">
        <v>2002</v>
      </c>
      <c r="C404" s="4" t="s">
        <v>72</v>
      </c>
      <c r="D404" s="4" t="s">
        <v>5</v>
      </c>
      <c r="E404" s="3">
        <v>32</v>
      </c>
      <c r="F404" s="3">
        <f>Merge2[[#This Row],[Coverage]]*100</f>
        <v>90</v>
      </c>
      <c r="G404" s="1">
        <v>0.9</v>
      </c>
      <c r="H404" s="3">
        <v>1535691</v>
      </c>
      <c r="I404" s="2">
        <v>2.0837525257359717</v>
      </c>
    </row>
    <row r="405" spans="1:9" x14ac:dyDescent="0.3">
      <c r="A405" s="4" t="s">
        <v>38</v>
      </c>
      <c r="B405" s="3">
        <v>2003</v>
      </c>
      <c r="C405" s="4" t="s">
        <v>72</v>
      </c>
      <c r="D405" s="4" t="s">
        <v>5</v>
      </c>
      <c r="E405" s="3">
        <v>119</v>
      </c>
      <c r="F405" s="3">
        <f>Merge2[[#This Row],[Coverage]]*100</f>
        <v>90</v>
      </c>
      <c r="G405" s="1">
        <v>0.9</v>
      </c>
      <c r="H405" s="3">
        <v>1577611</v>
      </c>
      <c r="I405" s="2">
        <v>7.5430508534740186</v>
      </c>
    </row>
    <row r="406" spans="1:9" x14ac:dyDescent="0.3">
      <c r="A406" s="4" t="s">
        <v>38</v>
      </c>
      <c r="B406" s="3">
        <v>2004</v>
      </c>
      <c r="C406" s="4" t="s">
        <v>72</v>
      </c>
      <c r="D406" s="4" t="s">
        <v>5</v>
      </c>
      <c r="E406" s="3">
        <v>0</v>
      </c>
      <c r="F406" s="3">
        <f>Merge2[[#This Row],[Coverage]]*100</f>
        <v>92</v>
      </c>
      <c r="G406" s="1">
        <v>0.92</v>
      </c>
      <c r="H406" s="3">
        <v>1621312</v>
      </c>
      <c r="I406" s="2">
        <v>0</v>
      </c>
    </row>
    <row r="407" spans="1:9" x14ac:dyDescent="0.3">
      <c r="A407" s="4" t="s">
        <v>38</v>
      </c>
      <c r="B407" s="3">
        <v>2005</v>
      </c>
      <c r="C407" s="4" t="s">
        <v>72</v>
      </c>
      <c r="D407" s="4" t="s">
        <v>5</v>
      </c>
      <c r="E407" s="3">
        <v>0</v>
      </c>
      <c r="F407" s="3">
        <f>Merge2[[#This Row],[Coverage]]*100</f>
        <v>91</v>
      </c>
      <c r="G407" s="1">
        <v>0.91</v>
      </c>
      <c r="H407" s="3">
        <v>1667037</v>
      </c>
      <c r="I407" s="2">
        <v>0</v>
      </c>
    </row>
    <row r="408" spans="1:9" x14ac:dyDescent="0.3">
      <c r="A408" s="4" t="s">
        <v>38</v>
      </c>
      <c r="B408" s="3">
        <v>2006</v>
      </c>
      <c r="C408" s="4" t="s">
        <v>72</v>
      </c>
      <c r="D408" s="4" t="s">
        <v>5</v>
      </c>
      <c r="E408" s="3">
        <v>0</v>
      </c>
      <c r="F408" s="3">
        <f>Merge2[[#This Row],[Coverage]]*100</f>
        <v>89</v>
      </c>
      <c r="G408" s="1">
        <v>0.89</v>
      </c>
      <c r="H408" s="3">
        <v>1715275</v>
      </c>
      <c r="I408" s="2">
        <v>0</v>
      </c>
    </row>
    <row r="409" spans="1:9" x14ac:dyDescent="0.3">
      <c r="A409" s="4" t="s">
        <v>38</v>
      </c>
      <c r="B409" s="3">
        <v>2007</v>
      </c>
      <c r="C409" s="4" t="s">
        <v>72</v>
      </c>
      <c r="D409" s="4" t="s">
        <v>5</v>
      </c>
      <c r="E409" s="3">
        <v>0</v>
      </c>
      <c r="F409" s="3">
        <f>Merge2[[#This Row],[Coverage]]*100</f>
        <v>88</v>
      </c>
      <c r="G409" s="1">
        <v>0.88</v>
      </c>
      <c r="H409" s="3">
        <v>1765774</v>
      </c>
      <c r="I409" s="2">
        <v>0</v>
      </c>
    </row>
    <row r="410" spans="1:9" x14ac:dyDescent="0.3">
      <c r="A410" s="4" t="s">
        <v>38</v>
      </c>
      <c r="B410" s="3">
        <v>2008</v>
      </c>
      <c r="C410" s="4" t="s">
        <v>72</v>
      </c>
      <c r="D410" s="4" t="s">
        <v>5</v>
      </c>
      <c r="E410" s="3">
        <v>0</v>
      </c>
      <c r="F410" s="3">
        <f>Merge2[[#This Row],[Coverage]]*100</f>
        <v>92</v>
      </c>
      <c r="G410" s="1">
        <v>0.92</v>
      </c>
      <c r="H410" s="3">
        <v>1817852</v>
      </c>
      <c r="I410" s="2">
        <v>0</v>
      </c>
    </row>
    <row r="411" spans="1:9" x14ac:dyDescent="0.3">
      <c r="A411" s="4" t="s">
        <v>38</v>
      </c>
      <c r="B411" s="3">
        <v>2009</v>
      </c>
      <c r="C411" s="4" t="s">
        <v>72</v>
      </c>
      <c r="D411" s="4" t="s">
        <v>5</v>
      </c>
      <c r="E411" s="3">
        <v>0</v>
      </c>
      <c r="F411" s="3">
        <f>Merge2[[#This Row],[Coverage]]*100</f>
        <v>96</v>
      </c>
      <c r="G411" s="1">
        <v>0.96</v>
      </c>
      <c r="H411" s="3">
        <v>1871422</v>
      </c>
      <c r="I411" s="2">
        <v>0</v>
      </c>
    </row>
    <row r="412" spans="1:9" x14ac:dyDescent="0.3">
      <c r="A412" s="4" t="s">
        <v>38</v>
      </c>
      <c r="B412" s="3">
        <v>2010</v>
      </c>
      <c r="C412" s="4" t="s">
        <v>72</v>
      </c>
      <c r="D412" s="4" t="s">
        <v>5</v>
      </c>
      <c r="E412" s="3">
        <v>2</v>
      </c>
      <c r="F412" s="3">
        <f>Merge2[[#This Row],[Coverage]]*100</f>
        <v>92</v>
      </c>
      <c r="G412" s="1">
        <v>0.92</v>
      </c>
      <c r="H412" s="3">
        <v>1926630</v>
      </c>
      <c r="I412" s="2">
        <v>0.10380820396235914</v>
      </c>
    </row>
    <row r="413" spans="1:9" x14ac:dyDescent="0.3">
      <c r="A413" s="4" t="s">
        <v>38</v>
      </c>
      <c r="B413" s="3">
        <v>2011</v>
      </c>
      <c r="C413" s="4" t="s">
        <v>72</v>
      </c>
      <c r="D413" s="4" t="s">
        <v>5</v>
      </c>
      <c r="E413" s="3">
        <v>0</v>
      </c>
      <c r="F413" s="3">
        <f>Merge2[[#This Row],[Coverage]]*100</f>
        <v>91</v>
      </c>
      <c r="G413" s="1">
        <v>0.91</v>
      </c>
      <c r="H413" s="3">
        <v>1983784</v>
      </c>
      <c r="I413" s="2">
        <v>0</v>
      </c>
    </row>
    <row r="414" spans="1:9" x14ac:dyDescent="0.3">
      <c r="A414" s="4" t="s">
        <v>38</v>
      </c>
      <c r="B414" s="3">
        <v>2012</v>
      </c>
      <c r="C414" s="4" t="s">
        <v>72</v>
      </c>
      <c r="D414" s="4" t="s">
        <v>5</v>
      </c>
      <c r="E414" s="3">
        <v>0</v>
      </c>
      <c r="F414" s="3">
        <f>Merge2[[#This Row],[Coverage]]*100</f>
        <v>95</v>
      </c>
      <c r="G414" s="1">
        <v>0.95</v>
      </c>
      <c r="H414" s="3">
        <v>2043094</v>
      </c>
      <c r="I414" s="2">
        <v>0</v>
      </c>
    </row>
    <row r="415" spans="1:9" x14ac:dyDescent="0.3">
      <c r="A415" s="4" t="s">
        <v>38</v>
      </c>
      <c r="B415" s="3">
        <v>2013</v>
      </c>
      <c r="C415" s="4" t="s">
        <v>72</v>
      </c>
      <c r="D415" s="4" t="s">
        <v>5</v>
      </c>
      <c r="E415" s="3">
        <v>0</v>
      </c>
      <c r="F415" s="3">
        <f>Merge2[[#This Row],[Coverage]]*100</f>
        <v>96</v>
      </c>
      <c r="G415" s="1">
        <v>0.96</v>
      </c>
      <c r="H415" s="3">
        <v>2103820</v>
      </c>
      <c r="I415" s="2">
        <v>0</v>
      </c>
    </row>
    <row r="416" spans="1:9" x14ac:dyDescent="0.3">
      <c r="A416" s="4" t="s">
        <v>38</v>
      </c>
      <c r="B416" s="3">
        <v>2014</v>
      </c>
      <c r="C416" s="4" t="s">
        <v>72</v>
      </c>
      <c r="D416" s="4" t="s">
        <v>5</v>
      </c>
      <c r="E416" s="3">
        <v>1</v>
      </c>
      <c r="F416" s="3">
        <f>Merge2[[#This Row],[Coverage]]*100</f>
        <v>96</v>
      </c>
      <c r="G416" s="1">
        <v>0.96</v>
      </c>
      <c r="H416" s="3">
        <v>2164528</v>
      </c>
      <c r="I416" s="2">
        <v>4.6199448563381949E-2</v>
      </c>
    </row>
    <row r="417" spans="1:9" x14ac:dyDescent="0.3">
      <c r="A417" s="4" t="s">
        <v>38</v>
      </c>
      <c r="B417" s="3">
        <v>2015</v>
      </c>
      <c r="C417" s="4" t="s">
        <v>72</v>
      </c>
      <c r="D417" s="4" t="s">
        <v>5</v>
      </c>
      <c r="E417" s="3">
        <v>71</v>
      </c>
      <c r="F417" s="3">
        <f>Merge2[[#This Row],[Coverage]]*100</f>
        <v>97</v>
      </c>
      <c r="G417" s="1">
        <v>0.97</v>
      </c>
      <c r="H417" s="3">
        <v>2224529</v>
      </c>
      <c r="I417" s="2">
        <v>3.1916868694451725</v>
      </c>
    </row>
    <row r="418" spans="1:9" x14ac:dyDescent="0.3">
      <c r="A418" s="4" t="s">
        <v>38</v>
      </c>
      <c r="B418" s="3">
        <v>2016</v>
      </c>
      <c r="C418" s="4" t="s">
        <v>72</v>
      </c>
      <c r="D418" s="4" t="s">
        <v>5</v>
      </c>
      <c r="E418" s="3">
        <v>45</v>
      </c>
      <c r="F418" s="3">
        <f>Merge2[[#This Row],[Coverage]]*100</f>
        <v>97</v>
      </c>
      <c r="G418" s="1">
        <v>0.97</v>
      </c>
      <c r="H418" s="3">
        <v>2283769</v>
      </c>
      <c r="I418" s="2">
        <v>1.9704269564916592</v>
      </c>
    </row>
    <row r="419" spans="1:9" x14ac:dyDescent="0.3">
      <c r="A419" s="4" t="s">
        <v>38</v>
      </c>
      <c r="B419" s="3">
        <v>2017</v>
      </c>
      <c r="C419" s="4" t="s">
        <v>72</v>
      </c>
      <c r="D419" s="4" t="s">
        <v>5</v>
      </c>
      <c r="E419" s="3">
        <v>1</v>
      </c>
      <c r="F419" s="3">
        <f>Merge2[[#This Row],[Coverage]]*100</f>
        <v>90</v>
      </c>
      <c r="G419" s="1">
        <v>0.9</v>
      </c>
      <c r="H419" s="3">
        <v>2342189</v>
      </c>
      <c r="I419" s="2">
        <v>4.2695102743629997E-2</v>
      </c>
    </row>
    <row r="420" spans="1:9" x14ac:dyDescent="0.3">
      <c r="A420" s="4" t="s">
        <v>38</v>
      </c>
      <c r="B420" s="3">
        <v>2018</v>
      </c>
      <c r="C420" s="4" t="s">
        <v>72</v>
      </c>
      <c r="D420" s="4" t="s">
        <v>5</v>
      </c>
      <c r="E420" s="3">
        <v>4</v>
      </c>
      <c r="F420" s="3">
        <f>Merge2[[#This Row],[Coverage]]*100</f>
        <v>91</v>
      </c>
      <c r="G420" s="1">
        <v>0.91</v>
      </c>
      <c r="H420" s="3">
        <v>2399632</v>
      </c>
      <c r="I420" s="2">
        <v>0.16669222614134166</v>
      </c>
    </row>
    <row r="421" spans="1:9" x14ac:dyDescent="0.3">
      <c r="A421" s="4" t="s">
        <v>38</v>
      </c>
      <c r="B421" s="3">
        <v>2019</v>
      </c>
      <c r="C421" s="4" t="s">
        <v>72</v>
      </c>
      <c r="D421" s="4" t="s">
        <v>5</v>
      </c>
      <c r="E421" s="3">
        <v>1</v>
      </c>
      <c r="F421" s="3">
        <f>Merge2[[#This Row],[Coverage]]*100</f>
        <v>85</v>
      </c>
      <c r="G421" s="1">
        <v>0.85</v>
      </c>
      <c r="H421" s="3">
        <v>2456844</v>
      </c>
      <c r="I421" s="2">
        <v>4.0702624993691094E-2</v>
      </c>
    </row>
    <row r="422" spans="1:9" x14ac:dyDescent="0.3">
      <c r="A422" s="4" t="s">
        <v>38</v>
      </c>
      <c r="B422" s="3">
        <v>2020</v>
      </c>
      <c r="C422" s="4" t="s">
        <v>72</v>
      </c>
      <c r="D422" s="4" t="s">
        <v>5</v>
      </c>
      <c r="E422" s="3"/>
      <c r="F422" s="3">
        <f>Merge2[[#This Row],[Coverage]]*100</f>
        <v>82</v>
      </c>
      <c r="G422" s="1">
        <v>0.82</v>
      </c>
      <c r="H422" s="3">
        <v>2515733</v>
      </c>
    </row>
    <row r="423" spans="1:9" x14ac:dyDescent="0.3">
      <c r="A423" s="4" t="s">
        <v>38</v>
      </c>
      <c r="B423" s="3">
        <v>2021</v>
      </c>
      <c r="C423" s="4" t="s">
        <v>72</v>
      </c>
      <c r="D423" s="4" t="s">
        <v>5</v>
      </c>
      <c r="E423" s="3">
        <v>0</v>
      </c>
      <c r="F423" s="3">
        <f>Merge2[[#This Row],[Coverage]]*100</f>
        <v>79</v>
      </c>
      <c r="G423" s="1">
        <v>0.79</v>
      </c>
      <c r="H423" s="3">
        <v>2576010</v>
      </c>
      <c r="I423" s="2">
        <v>0</v>
      </c>
    </row>
    <row r="424" spans="1:9" x14ac:dyDescent="0.3">
      <c r="A424" s="4" t="s">
        <v>38</v>
      </c>
      <c r="B424" s="3">
        <v>2022</v>
      </c>
      <c r="C424" s="4" t="s">
        <v>72</v>
      </c>
      <c r="D424" s="4" t="s">
        <v>5</v>
      </c>
      <c r="E424" s="3">
        <v>58</v>
      </c>
      <c r="F424" s="3">
        <f>Merge2[[#This Row],[Coverage]]*100</f>
        <v>74</v>
      </c>
      <c r="G424" s="1">
        <v>0.74</v>
      </c>
      <c r="H424" s="3">
        <v>2636470</v>
      </c>
      <c r="I424" s="2">
        <v>2.1999112449601173</v>
      </c>
    </row>
    <row r="425" spans="1:9" x14ac:dyDescent="0.3">
      <c r="A425" s="4" t="s">
        <v>38</v>
      </c>
      <c r="B425" s="3">
        <v>2023</v>
      </c>
      <c r="C425" s="4" t="s">
        <v>72</v>
      </c>
      <c r="D425" s="4" t="s">
        <v>5</v>
      </c>
      <c r="E425" s="3">
        <v>38</v>
      </c>
      <c r="F425" s="3">
        <f>Merge2[[#This Row],[Coverage]]*100</f>
        <v>80</v>
      </c>
      <c r="G425" s="1">
        <v>0.8</v>
      </c>
      <c r="H425" s="3">
        <v>2697845</v>
      </c>
      <c r="I425" s="2">
        <v>1.4085316243149624</v>
      </c>
    </row>
    <row r="426" spans="1:9" x14ac:dyDescent="0.3">
      <c r="A426" s="4" t="s">
        <v>38</v>
      </c>
      <c r="B426" s="3">
        <v>2024</v>
      </c>
      <c r="C426" s="4" t="s">
        <v>72</v>
      </c>
      <c r="D426" s="4" t="s">
        <v>5</v>
      </c>
      <c r="E426" s="3">
        <v>8</v>
      </c>
      <c r="F426" s="3">
        <f>Merge2[[#This Row],[Coverage]]*100</f>
        <v>83</v>
      </c>
      <c r="G426" s="1">
        <v>0.83</v>
      </c>
      <c r="H426" s="3">
        <v>2759988</v>
      </c>
      <c r="I426" s="2">
        <v>0.28985633270869293</v>
      </c>
    </row>
    <row r="427" spans="1:9" x14ac:dyDescent="0.3">
      <c r="A427" s="4" t="s">
        <v>41</v>
      </c>
      <c r="B427" s="3">
        <v>2000</v>
      </c>
      <c r="C427" s="4" t="s">
        <v>73</v>
      </c>
      <c r="D427" s="4" t="s">
        <v>5</v>
      </c>
      <c r="E427" s="3"/>
      <c r="F427" s="3">
        <f>Merge2[[#This Row],[Coverage]]*100</f>
        <v>71</v>
      </c>
      <c r="G427" s="1">
        <v>0.71</v>
      </c>
      <c r="H427" s="3">
        <v>1234741</v>
      </c>
    </row>
    <row r="428" spans="1:9" x14ac:dyDescent="0.3">
      <c r="A428" s="4" t="s">
        <v>41</v>
      </c>
      <c r="B428" s="3">
        <v>2001</v>
      </c>
      <c r="C428" s="4" t="s">
        <v>73</v>
      </c>
      <c r="D428" s="4" t="s">
        <v>5</v>
      </c>
      <c r="E428" s="3">
        <v>126</v>
      </c>
      <c r="F428" s="3">
        <f>Merge2[[#This Row],[Coverage]]*100</f>
        <v>72</v>
      </c>
      <c r="G428" s="1">
        <v>0.72</v>
      </c>
      <c r="H428" s="3">
        <v>1261273</v>
      </c>
      <c r="I428" s="2">
        <v>9.9899070225082127</v>
      </c>
    </row>
    <row r="429" spans="1:9" x14ac:dyDescent="0.3">
      <c r="A429" s="4" t="s">
        <v>41</v>
      </c>
      <c r="B429" s="3">
        <v>2002</v>
      </c>
      <c r="C429" s="4" t="s">
        <v>73</v>
      </c>
      <c r="D429" s="4" t="s">
        <v>5</v>
      </c>
      <c r="E429" s="3">
        <v>298</v>
      </c>
      <c r="F429" s="3">
        <f>Merge2[[#This Row],[Coverage]]*100</f>
        <v>73</v>
      </c>
      <c r="G429" s="1">
        <v>0.73</v>
      </c>
      <c r="H429" s="3">
        <v>1289307</v>
      </c>
      <c r="I429" s="2">
        <v>23.113191815448143</v>
      </c>
    </row>
    <row r="430" spans="1:9" x14ac:dyDescent="0.3">
      <c r="A430" s="4" t="s">
        <v>41</v>
      </c>
      <c r="B430" s="3">
        <v>2003</v>
      </c>
      <c r="C430" s="4" t="s">
        <v>73</v>
      </c>
      <c r="D430" s="4" t="s">
        <v>5</v>
      </c>
      <c r="E430" s="3">
        <v>1158</v>
      </c>
      <c r="F430" s="3">
        <f>Merge2[[#This Row],[Coverage]]*100</f>
        <v>74</v>
      </c>
      <c r="G430" s="1">
        <v>0.74</v>
      </c>
      <c r="H430" s="3">
        <v>1318806</v>
      </c>
      <c r="I430" s="2">
        <v>87.806697876715759</v>
      </c>
    </row>
    <row r="431" spans="1:9" x14ac:dyDescent="0.3">
      <c r="A431" s="4" t="s">
        <v>41</v>
      </c>
      <c r="B431" s="3">
        <v>2004</v>
      </c>
      <c r="C431" s="4" t="s">
        <v>73</v>
      </c>
      <c r="D431" s="4" t="s">
        <v>5</v>
      </c>
      <c r="E431" s="3">
        <v>3526</v>
      </c>
      <c r="F431" s="3">
        <f>Merge2[[#This Row],[Coverage]]*100</f>
        <v>75</v>
      </c>
      <c r="G431" s="1">
        <v>0.75</v>
      </c>
      <c r="H431" s="3">
        <v>1349563</v>
      </c>
      <c r="I431" s="2">
        <v>261.26975917389552</v>
      </c>
    </row>
    <row r="432" spans="1:9" x14ac:dyDescent="0.3">
      <c r="A432" s="4" t="s">
        <v>41</v>
      </c>
      <c r="B432" s="3">
        <v>2005</v>
      </c>
      <c r="C432" s="4" t="s">
        <v>73</v>
      </c>
      <c r="D432" s="4" t="s">
        <v>5</v>
      </c>
      <c r="E432" s="3">
        <v>0</v>
      </c>
      <c r="F432" s="3">
        <f>Merge2[[#This Row],[Coverage]]*100</f>
        <v>76</v>
      </c>
      <c r="G432" s="1">
        <v>0.76</v>
      </c>
      <c r="H432" s="3">
        <v>1381585</v>
      </c>
      <c r="I432" s="2">
        <v>0</v>
      </c>
    </row>
    <row r="433" spans="1:9" x14ac:dyDescent="0.3">
      <c r="A433" s="4" t="s">
        <v>41</v>
      </c>
      <c r="B433" s="3">
        <v>2006</v>
      </c>
      <c r="C433" s="4" t="s">
        <v>73</v>
      </c>
      <c r="D433" s="4" t="s">
        <v>5</v>
      </c>
      <c r="E433" s="3">
        <v>0</v>
      </c>
      <c r="F433" s="3">
        <f>Merge2[[#This Row],[Coverage]]*100</f>
        <v>74</v>
      </c>
      <c r="G433" s="1">
        <v>0.74</v>
      </c>
      <c r="H433" s="3">
        <v>1415303</v>
      </c>
      <c r="I433" s="2">
        <v>0</v>
      </c>
    </row>
    <row r="434" spans="1:9" x14ac:dyDescent="0.3">
      <c r="A434" s="4" t="s">
        <v>41</v>
      </c>
      <c r="B434" s="3">
        <v>2007</v>
      </c>
      <c r="C434" s="4" t="s">
        <v>73</v>
      </c>
      <c r="D434" s="4" t="s">
        <v>5</v>
      </c>
      <c r="E434" s="3">
        <v>1</v>
      </c>
      <c r="F434" s="3">
        <f>Merge2[[#This Row],[Coverage]]*100</f>
        <v>73</v>
      </c>
      <c r="G434" s="1">
        <v>0.73</v>
      </c>
      <c r="H434" s="3">
        <v>1450986</v>
      </c>
      <c r="I434" s="2">
        <v>6.8918652557640125E-2</v>
      </c>
    </row>
    <row r="435" spans="1:9" x14ac:dyDescent="0.3">
      <c r="A435" s="4" t="s">
        <v>41</v>
      </c>
      <c r="B435" s="3">
        <v>2008</v>
      </c>
      <c r="C435" s="4" t="s">
        <v>73</v>
      </c>
      <c r="D435" s="4" t="s">
        <v>5</v>
      </c>
      <c r="E435" s="3">
        <v>12</v>
      </c>
      <c r="F435" s="3">
        <f>Merge2[[#This Row],[Coverage]]*100</f>
        <v>71</v>
      </c>
      <c r="G435" s="1">
        <v>0.71</v>
      </c>
      <c r="H435" s="3">
        <v>1488054</v>
      </c>
      <c r="I435" s="2">
        <v>0.80642234757609599</v>
      </c>
    </row>
    <row r="436" spans="1:9" x14ac:dyDescent="0.3">
      <c r="A436" s="4" t="s">
        <v>41</v>
      </c>
      <c r="B436" s="3">
        <v>2009</v>
      </c>
      <c r="C436" s="4" t="s">
        <v>73</v>
      </c>
      <c r="D436" s="4" t="s">
        <v>5</v>
      </c>
      <c r="E436" s="3">
        <v>0</v>
      </c>
      <c r="F436" s="3">
        <f>Merge2[[#This Row],[Coverage]]*100</f>
        <v>69</v>
      </c>
      <c r="G436" s="1">
        <v>0.69</v>
      </c>
      <c r="H436" s="3">
        <v>1526377</v>
      </c>
      <c r="I436" s="2">
        <v>0</v>
      </c>
    </row>
    <row r="437" spans="1:9" x14ac:dyDescent="0.3">
      <c r="A437" s="4" t="s">
        <v>41</v>
      </c>
      <c r="B437" s="3">
        <v>2010</v>
      </c>
      <c r="C437" s="4" t="s">
        <v>73</v>
      </c>
      <c r="D437" s="4" t="s">
        <v>5</v>
      </c>
      <c r="E437" s="3">
        <v>26</v>
      </c>
      <c r="F437" s="3">
        <f>Merge2[[#This Row],[Coverage]]*100</f>
        <v>76</v>
      </c>
      <c r="G437" s="1">
        <v>0.76</v>
      </c>
      <c r="H437" s="3">
        <v>1566347</v>
      </c>
      <c r="I437" s="2">
        <v>1.6599131610045539</v>
      </c>
    </row>
    <row r="438" spans="1:9" x14ac:dyDescent="0.3">
      <c r="A438" s="4" t="s">
        <v>41</v>
      </c>
      <c r="B438" s="3">
        <v>2011</v>
      </c>
      <c r="C438" s="4" t="s">
        <v>73</v>
      </c>
      <c r="D438" s="4" t="s">
        <v>5</v>
      </c>
      <c r="E438" s="3">
        <v>0</v>
      </c>
      <c r="F438" s="3">
        <f>Merge2[[#This Row],[Coverage]]*100</f>
        <v>83</v>
      </c>
      <c r="G438" s="1">
        <v>0.83</v>
      </c>
      <c r="H438" s="3">
        <v>1608076</v>
      </c>
      <c r="I438" s="2">
        <v>0</v>
      </c>
    </row>
    <row r="439" spans="1:9" x14ac:dyDescent="0.3">
      <c r="A439" s="4" t="s">
        <v>41</v>
      </c>
      <c r="B439" s="3">
        <v>2012</v>
      </c>
      <c r="C439" s="4" t="s">
        <v>73</v>
      </c>
      <c r="D439" s="4" t="s">
        <v>5</v>
      </c>
      <c r="E439" s="3">
        <v>0</v>
      </c>
      <c r="F439" s="3">
        <f>Merge2[[#This Row],[Coverage]]*100</f>
        <v>81</v>
      </c>
      <c r="G439" s="1">
        <v>0.81</v>
      </c>
      <c r="H439" s="3">
        <v>1651417</v>
      </c>
      <c r="I439" s="2">
        <v>0</v>
      </c>
    </row>
    <row r="440" spans="1:9" x14ac:dyDescent="0.3">
      <c r="A440" s="4" t="s">
        <v>41</v>
      </c>
      <c r="B440" s="3">
        <v>2013</v>
      </c>
      <c r="C440" s="4" t="s">
        <v>73</v>
      </c>
      <c r="D440" s="4" t="s">
        <v>5</v>
      </c>
      <c r="E440" s="3">
        <v>0</v>
      </c>
      <c r="F440" s="3">
        <f>Merge2[[#This Row],[Coverage]]*100</f>
        <v>81</v>
      </c>
      <c r="G440" s="1">
        <v>0.81</v>
      </c>
      <c r="H440" s="3">
        <v>1695973</v>
      </c>
      <c r="I440" s="2">
        <v>0</v>
      </c>
    </row>
    <row r="441" spans="1:9" x14ac:dyDescent="0.3">
      <c r="A441" s="4" t="s">
        <v>41</v>
      </c>
      <c r="B441" s="3">
        <v>2014</v>
      </c>
      <c r="C441" s="4" t="s">
        <v>73</v>
      </c>
      <c r="D441" s="4" t="s">
        <v>5</v>
      </c>
      <c r="E441" s="3">
        <v>1</v>
      </c>
      <c r="F441" s="3">
        <f>Merge2[[#This Row],[Coverage]]*100</f>
        <v>81</v>
      </c>
      <c r="G441" s="1">
        <v>0.81</v>
      </c>
      <c r="H441" s="3">
        <v>1741122</v>
      </c>
      <c r="I441" s="2">
        <v>5.7434229192440275E-2</v>
      </c>
    </row>
    <row r="442" spans="1:9" x14ac:dyDescent="0.3">
      <c r="A442" s="4" t="s">
        <v>41</v>
      </c>
      <c r="B442" s="3">
        <v>2015</v>
      </c>
      <c r="C442" s="4" t="s">
        <v>73</v>
      </c>
      <c r="D442" s="4" t="s">
        <v>5</v>
      </c>
      <c r="E442" s="3">
        <v>153</v>
      </c>
      <c r="F442" s="3">
        <f>Merge2[[#This Row],[Coverage]]*100</f>
        <v>80</v>
      </c>
      <c r="G442" s="1">
        <v>0.8</v>
      </c>
      <c r="H442" s="3">
        <v>1786457</v>
      </c>
      <c r="I442" s="2">
        <v>8.5644378789973672</v>
      </c>
    </row>
    <row r="443" spans="1:9" x14ac:dyDescent="0.3">
      <c r="A443" s="4" t="s">
        <v>41</v>
      </c>
      <c r="B443" s="3">
        <v>2016</v>
      </c>
      <c r="C443" s="4" t="s">
        <v>73</v>
      </c>
      <c r="D443" s="4" t="s">
        <v>5</v>
      </c>
      <c r="E443" s="3">
        <v>0</v>
      </c>
      <c r="F443" s="3">
        <f>Merge2[[#This Row],[Coverage]]*100</f>
        <v>80</v>
      </c>
      <c r="G443" s="1">
        <v>0.8</v>
      </c>
      <c r="H443" s="3">
        <v>1831893</v>
      </c>
      <c r="I443" s="2">
        <v>0</v>
      </c>
    </row>
    <row r="444" spans="1:9" x14ac:dyDescent="0.3">
      <c r="A444" s="4" t="s">
        <v>41</v>
      </c>
      <c r="B444" s="3">
        <v>2017</v>
      </c>
      <c r="C444" s="4" t="s">
        <v>73</v>
      </c>
      <c r="D444" s="4" t="s">
        <v>5</v>
      </c>
      <c r="E444" s="3">
        <v>11</v>
      </c>
      <c r="F444" s="3">
        <f>Merge2[[#This Row],[Coverage]]*100</f>
        <v>66</v>
      </c>
      <c r="G444" s="1">
        <v>0.66</v>
      </c>
      <c r="H444" s="3">
        <v>1877072</v>
      </c>
      <c r="I444" s="2">
        <v>0.58601907651917451</v>
      </c>
    </row>
    <row r="445" spans="1:9" x14ac:dyDescent="0.3">
      <c r="A445" s="4" t="s">
        <v>41</v>
      </c>
      <c r="B445" s="3">
        <v>2018</v>
      </c>
      <c r="C445" s="4" t="s">
        <v>73</v>
      </c>
      <c r="D445" s="4" t="s">
        <v>5</v>
      </c>
      <c r="E445" s="3">
        <v>28</v>
      </c>
      <c r="F445" s="3">
        <f>Merge2[[#This Row],[Coverage]]*100</f>
        <v>79</v>
      </c>
      <c r="G445" s="1">
        <v>0.79</v>
      </c>
      <c r="H445" s="3">
        <v>1922168</v>
      </c>
      <c r="I445" s="2">
        <v>1.456688489247558</v>
      </c>
    </row>
    <row r="446" spans="1:9" x14ac:dyDescent="0.3">
      <c r="A446" s="4" t="s">
        <v>41</v>
      </c>
      <c r="B446" s="3">
        <v>2019</v>
      </c>
      <c r="C446" s="4" t="s">
        <v>73</v>
      </c>
      <c r="D446" s="4" t="s">
        <v>5</v>
      </c>
      <c r="E446" s="3">
        <v>60</v>
      </c>
      <c r="F446" s="3">
        <f>Merge2[[#This Row],[Coverage]]*100</f>
        <v>79</v>
      </c>
      <c r="G446" s="1">
        <v>0.79</v>
      </c>
      <c r="H446" s="3">
        <v>1967696</v>
      </c>
      <c r="I446" s="2">
        <v>3.0492515103959148</v>
      </c>
    </row>
    <row r="447" spans="1:9" x14ac:dyDescent="0.3">
      <c r="A447" s="4" t="s">
        <v>41</v>
      </c>
      <c r="B447" s="3">
        <v>2020</v>
      </c>
      <c r="C447" s="4" t="s">
        <v>73</v>
      </c>
      <c r="D447" s="4" t="s">
        <v>5</v>
      </c>
      <c r="E447" s="3">
        <v>22</v>
      </c>
      <c r="F447" s="3">
        <f>Merge2[[#This Row],[Coverage]]*100</f>
        <v>72</v>
      </c>
      <c r="G447" s="1">
        <v>0.72</v>
      </c>
      <c r="H447" s="3">
        <v>2013255</v>
      </c>
      <c r="I447" s="2">
        <v>1.0927577480249644</v>
      </c>
    </row>
    <row r="448" spans="1:9" x14ac:dyDescent="0.3">
      <c r="A448" s="4" t="s">
        <v>41</v>
      </c>
      <c r="B448" s="3">
        <v>2021</v>
      </c>
      <c r="C448" s="4" t="s">
        <v>73</v>
      </c>
      <c r="D448" s="4" t="s">
        <v>5</v>
      </c>
      <c r="E448" s="3"/>
      <c r="F448" s="3">
        <f>Merge2[[#This Row],[Coverage]]*100</f>
        <v>63</v>
      </c>
      <c r="G448" s="1">
        <v>0.63</v>
      </c>
      <c r="H448" s="3">
        <v>2058841</v>
      </c>
    </row>
    <row r="449" spans="1:9" x14ac:dyDescent="0.3">
      <c r="A449" s="4" t="s">
        <v>41</v>
      </c>
      <c r="B449" s="3">
        <v>2022</v>
      </c>
      <c r="C449" s="4" t="s">
        <v>73</v>
      </c>
      <c r="D449" s="4" t="s">
        <v>5</v>
      </c>
      <c r="E449" s="3">
        <v>213</v>
      </c>
      <c r="F449" s="3">
        <f>Merge2[[#This Row],[Coverage]]*100</f>
        <v>75</v>
      </c>
      <c r="G449" s="1">
        <v>0.75</v>
      </c>
      <c r="H449" s="3">
        <v>2105529</v>
      </c>
      <c r="I449" s="2">
        <v>10.116222573994468</v>
      </c>
    </row>
    <row r="450" spans="1:9" x14ac:dyDescent="0.3">
      <c r="A450" s="4" t="s">
        <v>41</v>
      </c>
      <c r="B450" s="3">
        <v>2023</v>
      </c>
      <c r="C450" s="4" t="s">
        <v>73</v>
      </c>
      <c r="D450" s="4" t="s">
        <v>5</v>
      </c>
      <c r="E450" s="3">
        <v>5</v>
      </c>
      <c r="F450" s="3">
        <f>Merge2[[#This Row],[Coverage]]*100</f>
        <v>72</v>
      </c>
      <c r="G450" s="1">
        <v>0.72</v>
      </c>
      <c r="H450" s="3">
        <v>2153339</v>
      </c>
      <c r="I450" s="2">
        <v>0.23219753136872551</v>
      </c>
    </row>
    <row r="451" spans="1:9" x14ac:dyDescent="0.3">
      <c r="A451" s="4" t="s">
        <v>41</v>
      </c>
      <c r="B451" s="3">
        <v>2024</v>
      </c>
      <c r="C451" s="4" t="s">
        <v>73</v>
      </c>
      <c r="D451" s="4" t="s">
        <v>5</v>
      </c>
      <c r="E451" s="3">
        <v>0</v>
      </c>
      <c r="F451" s="3">
        <f>Merge2[[#This Row],[Coverage]]*100</f>
        <v>65</v>
      </c>
      <c r="G451" s="1">
        <v>0.65</v>
      </c>
      <c r="H451" s="3">
        <v>2201352</v>
      </c>
      <c r="I451" s="2">
        <v>0</v>
      </c>
    </row>
    <row r="452" spans="1:9" x14ac:dyDescent="0.3">
      <c r="A452" s="4" t="s">
        <v>34</v>
      </c>
      <c r="B452" s="3">
        <v>2000</v>
      </c>
      <c r="C452" s="4" t="s">
        <v>74</v>
      </c>
      <c r="D452" s="4" t="s">
        <v>5</v>
      </c>
      <c r="E452" s="3"/>
      <c r="F452" s="3">
        <f>Merge2[[#This Row],[Coverage]]*100</f>
        <v>50</v>
      </c>
      <c r="G452" s="1">
        <v>0.5</v>
      </c>
      <c r="H452" s="3">
        <v>703279</v>
      </c>
    </row>
    <row r="453" spans="1:9" x14ac:dyDescent="0.3">
      <c r="A453" s="4" t="s">
        <v>34</v>
      </c>
      <c r="B453" s="3">
        <v>2001</v>
      </c>
      <c r="C453" s="4" t="s">
        <v>74</v>
      </c>
      <c r="D453" s="4" t="s">
        <v>5</v>
      </c>
      <c r="E453" s="3">
        <v>1339</v>
      </c>
      <c r="F453" s="3">
        <f>Merge2[[#This Row],[Coverage]]*100</f>
        <v>50</v>
      </c>
      <c r="G453" s="1">
        <v>0.5</v>
      </c>
      <c r="H453" s="3">
        <v>749836</v>
      </c>
      <c r="I453" s="2">
        <v>178.57238116068046</v>
      </c>
    </row>
    <row r="454" spans="1:9" x14ac:dyDescent="0.3">
      <c r="A454" s="4" t="s">
        <v>34</v>
      </c>
      <c r="B454" s="3">
        <v>2002</v>
      </c>
      <c r="C454" s="4" t="s">
        <v>74</v>
      </c>
      <c r="D454" s="4" t="s">
        <v>5</v>
      </c>
      <c r="E454" s="3">
        <v>24</v>
      </c>
      <c r="F454" s="3">
        <f>Merge2[[#This Row],[Coverage]]*100</f>
        <v>49</v>
      </c>
      <c r="G454" s="1">
        <v>0.49</v>
      </c>
      <c r="H454" s="3">
        <v>797957</v>
      </c>
      <c r="I454" s="2">
        <v>3.007680865009017</v>
      </c>
    </row>
    <row r="455" spans="1:9" x14ac:dyDescent="0.3">
      <c r="A455" s="4" t="s">
        <v>34</v>
      </c>
      <c r="B455" s="3">
        <v>2003</v>
      </c>
      <c r="C455" s="4" t="s">
        <v>74</v>
      </c>
      <c r="D455" s="4" t="s">
        <v>5</v>
      </c>
      <c r="E455" s="3">
        <v>18</v>
      </c>
      <c r="F455" s="3">
        <f>Merge2[[#This Row],[Coverage]]*100</f>
        <v>48</v>
      </c>
      <c r="G455" s="1">
        <v>0.48</v>
      </c>
      <c r="H455" s="3">
        <v>847862</v>
      </c>
      <c r="I455" s="2">
        <v>2.1229869955252152</v>
      </c>
    </row>
    <row r="456" spans="1:9" x14ac:dyDescent="0.3">
      <c r="A456" s="4" t="s">
        <v>34</v>
      </c>
      <c r="B456" s="3">
        <v>2004</v>
      </c>
      <c r="C456" s="4" t="s">
        <v>74</v>
      </c>
      <c r="D456" s="4" t="s">
        <v>5</v>
      </c>
      <c r="E456" s="3">
        <v>38</v>
      </c>
      <c r="F456" s="3">
        <f>Merge2[[#This Row],[Coverage]]*100</f>
        <v>48</v>
      </c>
      <c r="G456" s="1">
        <v>0.48</v>
      </c>
      <c r="H456" s="3">
        <v>899917</v>
      </c>
      <c r="I456" s="2">
        <v>4.2226116408513237</v>
      </c>
    </row>
    <row r="457" spans="1:9" x14ac:dyDescent="0.3">
      <c r="A457" s="4" t="s">
        <v>34</v>
      </c>
      <c r="B457" s="3">
        <v>2005</v>
      </c>
      <c r="C457" s="4" t="s">
        <v>74</v>
      </c>
      <c r="D457" s="4" t="s">
        <v>5</v>
      </c>
      <c r="E457" s="3"/>
      <c r="F457" s="3">
        <f>Merge2[[#This Row],[Coverage]]*100</f>
        <v>47</v>
      </c>
      <c r="G457" s="1">
        <v>0.47</v>
      </c>
      <c r="H457" s="3">
        <v>947367</v>
      </c>
    </row>
    <row r="458" spans="1:9" x14ac:dyDescent="0.3">
      <c r="A458" s="4" t="s">
        <v>34</v>
      </c>
      <c r="B458" s="3">
        <v>2006</v>
      </c>
      <c r="C458" s="4" t="s">
        <v>74</v>
      </c>
      <c r="D458" s="4" t="s">
        <v>5</v>
      </c>
      <c r="E458" s="3">
        <v>0</v>
      </c>
      <c r="F458" s="3">
        <f>Merge2[[#This Row],[Coverage]]*100</f>
        <v>47</v>
      </c>
      <c r="G458" s="1">
        <v>0.47</v>
      </c>
      <c r="H458" s="3">
        <v>990343</v>
      </c>
      <c r="I458" s="2">
        <v>0</v>
      </c>
    </row>
    <row r="459" spans="1:9" x14ac:dyDescent="0.3">
      <c r="A459" s="4" t="s">
        <v>34</v>
      </c>
      <c r="B459" s="3">
        <v>2007</v>
      </c>
      <c r="C459" s="4" t="s">
        <v>74</v>
      </c>
      <c r="D459" s="4" t="s">
        <v>5</v>
      </c>
      <c r="E459" s="3">
        <v>5</v>
      </c>
      <c r="F459" s="3">
        <f>Merge2[[#This Row],[Coverage]]*100</f>
        <v>46</v>
      </c>
      <c r="G459" s="1">
        <v>0.46</v>
      </c>
      <c r="H459" s="3">
        <v>1036044</v>
      </c>
      <c r="I459" s="2">
        <v>0.48260498588863027</v>
      </c>
    </row>
    <row r="460" spans="1:9" x14ac:dyDescent="0.3">
      <c r="A460" s="4" t="s">
        <v>34</v>
      </c>
      <c r="B460" s="3">
        <v>2008</v>
      </c>
      <c r="C460" s="4" t="s">
        <v>74</v>
      </c>
      <c r="D460" s="4" t="s">
        <v>5</v>
      </c>
      <c r="E460" s="3">
        <v>436</v>
      </c>
      <c r="F460" s="3">
        <f>Merge2[[#This Row],[Coverage]]*100</f>
        <v>45</v>
      </c>
      <c r="G460" s="1">
        <v>0.45</v>
      </c>
      <c r="H460" s="3">
        <v>1084530</v>
      </c>
      <c r="I460" s="2">
        <v>40.201746378615617</v>
      </c>
    </row>
    <row r="461" spans="1:9" x14ac:dyDescent="0.3">
      <c r="A461" s="4" t="s">
        <v>34</v>
      </c>
      <c r="B461" s="3">
        <v>2009</v>
      </c>
      <c r="C461" s="4" t="s">
        <v>74</v>
      </c>
      <c r="D461" s="4" t="s">
        <v>5</v>
      </c>
      <c r="E461" s="3">
        <v>78</v>
      </c>
      <c r="F461" s="3">
        <f>Merge2[[#This Row],[Coverage]]*100</f>
        <v>45</v>
      </c>
      <c r="G461" s="1">
        <v>0.45</v>
      </c>
      <c r="H461" s="3">
        <v>1135673</v>
      </c>
      <c r="I461" s="2">
        <v>6.8681742015527352</v>
      </c>
    </row>
    <row r="462" spans="1:9" x14ac:dyDescent="0.3">
      <c r="A462" s="4" t="s">
        <v>34</v>
      </c>
      <c r="B462" s="3">
        <v>2010</v>
      </c>
      <c r="C462" s="4" t="s">
        <v>74</v>
      </c>
      <c r="D462" s="4" t="s">
        <v>5</v>
      </c>
      <c r="E462" s="3">
        <v>0</v>
      </c>
      <c r="F462" s="3">
        <f>Merge2[[#This Row],[Coverage]]*100</f>
        <v>44</v>
      </c>
      <c r="G462" s="1">
        <v>0.44</v>
      </c>
      <c r="H462" s="3">
        <v>1189085</v>
      </c>
      <c r="I462" s="2">
        <v>0</v>
      </c>
    </row>
    <row r="463" spans="1:9" x14ac:dyDescent="0.3">
      <c r="A463" s="4" t="s">
        <v>34</v>
      </c>
      <c r="B463" s="3">
        <v>2011</v>
      </c>
      <c r="C463" s="4" t="s">
        <v>74</v>
      </c>
      <c r="D463" s="4" t="s">
        <v>5</v>
      </c>
      <c r="E463" s="3">
        <v>0</v>
      </c>
      <c r="F463" s="3">
        <f>Merge2[[#This Row],[Coverage]]*100</f>
        <v>46</v>
      </c>
      <c r="G463" s="1">
        <v>0.46</v>
      </c>
      <c r="H463" s="3">
        <v>1241835</v>
      </c>
      <c r="I463" s="2">
        <v>0</v>
      </c>
    </row>
    <row r="464" spans="1:9" x14ac:dyDescent="0.3">
      <c r="A464" s="4" t="s">
        <v>34</v>
      </c>
      <c r="B464" s="3">
        <v>2012</v>
      </c>
      <c r="C464" s="4" t="s">
        <v>74</v>
      </c>
      <c r="D464" s="4" t="s">
        <v>5</v>
      </c>
      <c r="E464" s="3">
        <v>1190</v>
      </c>
      <c r="F464" s="3">
        <f>Merge2[[#This Row],[Coverage]]*100</f>
        <v>49</v>
      </c>
      <c r="G464" s="1">
        <v>0.49</v>
      </c>
      <c r="H464" s="3">
        <v>1293483</v>
      </c>
      <c r="I464" s="2">
        <v>91.999662925604738</v>
      </c>
    </row>
    <row r="465" spans="1:9" x14ac:dyDescent="0.3">
      <c r="A465" s="4" t="s">
        <v>34</v>
      </c>
      <c r="B465" s="3">
        <v>2013</v>
      </c>
      <c r="C465" s="4" t="s">
        <v>74</v>
      </c>
      <c r="D465" s="4" t="s">
        <v>5</v>
      </c>
      <c r="E465" s="3">
        <v>321</v>
      </c>
      <c r="F465" s="3">
        <f>Merge2[[#This Row],[Coverage]]*100</f>
        <v>51</v>
      </c>
      <c r="G465" s="1">
        <v>0.51</v>
      </c>
      <c r="H465" s="3">
        <v>1346218</v>
      </c>
      <c r="I465" s="2">
        <v>23.844577921257926</v>
      </c>
    </row>
    <row r="466" spans="1:9" x14ac:dyDescent="0.3">
      <c r="A466" s="4" t="s">
        <v>34</v>
      </c>
      <c r="B466" s="3">
        <v>2014</v>
      </c>
      <c r="C466" s="4" t="s">
        <v>74</v>
      </c>
      <c r="D466" s="4" t="s">
        <v>5</v>
      </c>
      <c r="E466" s="3">
        <v>13</v>
      </c>
      <c r="F466" s="3">
        <f>Merge2[[#This Row],[Coverage]]*100</f>
        <v>53</v>
      </c>
      <c r="G466" s="1">
        <v>0.53</v>
      </c>
      <c r="H466" s="3">
        <v>1399828</v>
      </c>
      <c r="I466" s="2">
        <v>0.92868552422154727</v>
      </c>
    </row>
    <row r="467" spans="1:9" x14ac:dyDescent="0.3">
      <c r="A467" s="4" t="s">
        <v>34</v>
      </c>
      <c r="B467" s="3">
        <v>2015</v>
      </c>
      <c r="C467" s="4" t="s">
        <v>74</v>
      </c>
      <c r="D467" s="4" t="s">
        <v>5</v>
      </c>
      <c r="E467" s="3">
        <v>1250</v>
      </c>
      <c r="F467" s="3">
        <f>Merge2[[#This Row],[Coverage]]*100</f>
        <v>50</v>
      </c>
      <c r="G467" s="1">
        <v>0.5</v>
      </c>
      <c r="H467" s="3">
        <v>1453923</v>
      </c>
      <c r="I467" s="2">
        <v>85.974291623421607</v>
      </c>
    </row>
    <row r="468" spans="1:9" x14ac:dyDescent="0.3">
      <c r="A468" s="4" t="s">
        <v>34</v>
      </c>
      <c r="B468" s="3">
        <v>2016</v>
      </c>
      <c r="C468" s="4" t="s">
        <v>74</v>
      </c>
      <c r="D468" s="4" t="s">
        <v>5</v>
      </c>
      <c r="E468" s="3">
        <v>1699</v>
      </c>
      <c r="F468" s="3">
        <f>Merge2[[#This Row],[Coverage]]*100</f>
        <v>53</v>
      </c>
      <c r="G468" s="1">
        <v>0.53</v>
      </c>
      <c r="H468" s="3">
        <v>1508186</v>
      </c>
      <c r="I468" s="2">
        <v>112.65188776450651</v>
      </c>
    </row>
    <row r="469" spans="1:9" x14ac:dyDescent="0.3">
      <c r="A469" s="4" t="s">
        <v>34</v>
      </c>
      <c r="B469" s="3">
        <v>2017</v>
      </c>
      <c r="C469" s="4" t="s">
        <v>74</v>
      </c>
      <c r="D469" s="4" t="s">
        <v>5</v>
      </c>
      <c r="E469" s="3">
        <v>1</v>
      </c>
      <c r="F469" s="3">
        <f>Merge2[[#This Row],[Coverage]]*100</f>
        <v>52</v>
      </c>
      <c r="G469" s="1">
        <v>0.52</v>
      </c>
      <c r="H469" s="3">
        <v>1562396</v>
      </c>
      <c r="I469" s="2">
        <v>6.4004260123553827E-2</v>
      </c>
    </row>
    <row r="470" spans="1:9" x14ac:dyDescent="0.3">
      <c r="A470" s="4" t="s">
        <v>34</v>
      </c>
      <c r="B470" s="3">
        <v>2018</v>
      </c>
      <c r="C470" s="4" t="s">
        <v>74</v>
      </c>
      <c r="D470" s="4" t="s">
        <v>5</v>
      </c>
      <c r="E470" s="3">
        <v>0</v>
      </c>
      <c r="F470" s="3">
        <f>Merge2[[#This Row],[Coverage]]*100</f>
        <v>52</v>
      </c>
      <c r="G470" s="1">
        <v>0.52</v>
      </c>
      <c r="H470" s="3">
        <v>1616422</v>
      </c>
      <c r="I470" s="2">
        <v>0</v>
      </c>
    </row>
    <row r="471" spans="1:9" x14ac:dyDescent="0.3">
      <c r="A471" s="4" t="s">
        <v>34</v>
      </c>
      <c r="B471" s="3">
        <v>2019</v>
      </c>
      <c r="C471" s="4" t="s">
        <v>74</v>
      </c>
      <c r="D471" s="4" t="s">
        <v>5</v>
      </c>
      <c r="E471" s="3">
        <v>0</v>
      </c>
      <c r="F471" s="3">
        <f>Merge2[[#This Row],[Coverage]]*100</f>
        <v>51</v>
      </c>
      <c r="G471" s="1">
        <v>0.51</v>
      </c>
      <c r="H471" s="3">
        <v>1670177</v>
      </c>
      <c r="I471" s="2">
        <v>0</v>
      </c>
    </row>
    <row r="472" spans="1:9" x14ac:dyDescent="0.3">
      <c r="A472" s="4" t="s">
        <v>34</v>
      </c>
      <c r="B472" s="3">
        <v>2020</v>
      </c>
      <c r="C472" s="4" t="s">
        <v>74</v>
      </c>
      <c r="D472" s="4" t="s">
        <v>5</v>
      </c>
      <c r="E472" s="3">
        <v>53</v>
      </c>
      <c r="F472" s="3">
        <f>Merge2[[#This Row],[Coverage]]*100</f>
        <v>50</v>
      </c>
      <c r="G472" s="1">
        <v>0.5</v>
      </c>
      <c r="H472" s="3">
        <v>1716468</v>
      </c>
      <c r="I472" s="2">
        <v>3.0877359787656977</v>
      </c>
    </row>
    <row r="473" spans="1:9" x14ac:dyDescent="0.3">
      <c r="A473" s="4" t="s">
        <v>34</v>
      </c>
      <c r="B473" s="3">
        <v>2021</v>
      </c>
      <c r="C473" s="4" t="s">
        <v>74</v>
      </c>
      <c r="D473" s="4" t="s">
        <v>5</v>
      </c>
      <c r="E473" s="3">
        <v>43</v>
      </c>
      <c r="F473" s="3">
        <f>Merge2[[#This Row],[Coverage]]*100</f>
        <v>50</v>
      </c>
      <c r="G473" s="1">
        <v>0.5</v>
      </c>
      <c r="H473" s="3">
        <v>1758786</v>
      </c>
      <c r="I473" s="2">
        <v>2.4448682216028557</v>
      </c>
    </row>
    <row r="474" spans="1:9" x14ac:dyDescent="0.3">
      <c r="A474" s="4" t="s">
        <v>34</v>
      </c>
      <c r="B474" s="3">
        <v>2022</v>
      </c>
      <c r="C474" s="4" t="s">
        <v>74</v>
      </c>
      <c r="D474" s="4" t="s">
        <v>5</v>
      </c>
      <c r="E474" s="3">
        <v>49</v>
      </c>
      <c r="F474" s="3">
        <f>Merge2[[#This Row],[Coverage]]*100</f>
        <v>49</v>
      </c>
      <c r="G474" s="1">
        <v>0.49</v>
      </c>
      <c r="H474" s="3">
        <v>1803545</v>
      </c>
      <c r="I474" s="2">
        <v>2.7168714947506158</v>
      </c>
    </row>
    <row r="475" spans="1:9" x14ac:dyDescent="0.3">
      <c r="A475" s="4" t="s">
        <v>34</v>
      </c>
      <c r="B475" s="3">
        <v>2023</v>
      </c>
      <c r="C475" s="4" t="s">
        <v>74</v>
      </c>
      <c r="D475" s="4" t="s">
        <v>5</v>
      </c>
      <c r="E475" s="3">
        <v>270</v>
      </c>
      <c r="F475" s="3">
        <f>Merge2[[#This Row],[Coverage]]*100</f>
        <v>61</v>
      </c>
      <c r="G475" s="1">
        <v>0.61</v>
      </c>
      <c r="H475" s="3">
        <v>1847549</v>
      </c>
      <c r="I475" s="2">
        <v>14.613956111583507</v>
      </c>
    </row>
    <row r="476" spans="1:9" x14ac:dyDescent="0.3">
      <c r="A476" s="4" t="s">
        <v>34</v>
      </c>
      <c r="B476" s="3">
        <v>2024</v>
      </c>
      <c r="C476" s="4" t="s">
        <v>74</v>
      </c>
      <c r="D476" s="4" t="s">
        <v>5</v>
      </c>
      <c r="E476" s="3">
        <v>463</v>
      </c>
      <c r="F476" s="3">
        <f>Merge2[[#This Row],[Coverage]]*100</f>
        <v>53</v>
      </c>
      <c r="G476" s="1">
        <v>0.53</v>
      </c>
      <c r="H476" s="3">
        <v>1892516</v>
      </c>
      <c r="I476" s="2">
        <v>24.464786559268191</v>
      </c>
    </row>
    <row r="477" spans="1:9" x14ac:dyDescent="0.3">
      <c r="A477" s="4" t="s">
        <v>42</v>
      </c>
      <c r="B477" s="3">
        <v>2000</v>
      </c>
      <c r="C477" s="4" t="s">
        <v>75</v>
      </c>
      <c r="D477" s="4" t="s">
        <v>5</v>
      </c>
      <c r="E477" s="3">
        <v>21002</v>
      </c>
      <c r="F477" s="3">
        <f>Merge2[[#This Row],[Coverage]]*100</f>
        <v>78</v>
      </c>
      <c r="G477" s="1">
        <v>0.78</v>
      </c>
      <c r="H477" s="3">
        <v>30642890</v>
      </c>
      <c r="I477" s="2">
        <v>68.537921847449766</v>
      </c>
    </row>
    <row r="478" spans="1:9" x14ac:dyDescent="0.3">
      <c r="A478" s="4" t="s">
        <v>42</v>
      </c>
      <c r="B478" s="3">
        <v>2001</v>
      </c>
      <c r="C478" s="4" t="s">
        <v>75</v>
      </c>
      <c r="D478" s="4" t="s">
        <v>5</v>
      </c>
      <c r="E478" s="3">
        <v>11304</v>
      </c>
      <c r="F478" s="3">
        <f>Merge2[[#This Row],[Coverage]]*100</f>
        <v>77</v>
      </c>
      <c r="G478" s="1">
        <v>0.77</v>
      </c>
      <c r="H478" s="3">
        <v>31619170</v>
      </c>
      <c r="I478" s="2">
        <v>35.750464038113591</v>
      </c>
    </row>
    <row r="479" spans="1:9" x14ac:dyDescent="0.3">
      <c r="A479" s="4" t="s">
        <v>42</v>
      </c>
      <c r="B479" s="3">
        <v>2002</v>
      </c>
      <c r="C479" s="4" t="s">
        <v>75</v>
      </c>
      <c r="D479" s="4" t="s">
        <v>5</v>
      </c>
      <c r="E479" s="3">
        <v>766</v>
      </c>
      <c r="F479" s="3">
        <f>Merge2[[#This Row],[Coverage]]*100</f>
        <v>78</v>
      </c>
      <c r="G479" s="1">
        <v>0.78</v>
      </c>
      <c r="H479" s="3">
        <v>32629808</v>
      </c>
      <c r="I479" s="2">
        <v>2.3475467584731113</v>
      </c>
    </row>
    <row r="480" spans="1:9" x14ac:dyDescent="0.3">
      <c r="A480" s="4" t="s">
        <v>42</v>
      </c>
      <c r="B480" s="3">
        <v>2003</v>
      </c>
      <c r="C480" s="4" t="s">
        <v>75</v>
      </c>
      <c r="D480" s="4" t="s">
        <v>5</v>
      </c>
      <c r="E480" s="3">
        <v>65</v>
      </c>
      <c r="F480" s="3">
        <f>Merge2[[#This Row],[Coverage]]*100</f>
        <v>72</v>
      </c>
      <c r="G480" s="1">
        <v>0.72</v>
      </c>
      <c r="H480" s="3">
        <v>33652223</v>
      </c>
      <c r="I480" s="2">
        <v>0.19315217303772175</v>
      </c>
    </row>
    <row r="481" spans="1:9" x14ac:dyDescent="0.3">
      <c r="A481" s="4" t="s">
        <v>42</v>
      </c>
      <c r="B481" s="3">
        <v>2004</v>
      </c>
      <c r="C481" s="4" t="s">
        <v>75</v>
      </c>
      <c r="D481" s="4" t="s">
        <v>5</v>
      </c>
      <c r="E481" s="3">
        <v>20</v>
      </c>
      <c r="F481" s="3">
        <f>Merge2[[#This Row],[Coverage]]*100</f>
        <v>73</v>
      </c>
      <c r="G481" s="1">
        <v>0.73</v>
      </c>
      <c r="H481" s="3">
        <v>34713455</v>
      </c>
      <c r="I481" s="2">
        <v>5.7614547442771107E-2</v>
      </c>
    </row>
    <row r="482" spans="1:9" x14ac:dyDescent="0.3">
      <c r="A482" s="4" t="s">
        <v>42</v>
      </c>
      <c r="B482" s="3">
        <v>2005</v>
      </c>
      <c r="C482" s="4" t="s">
        <v>75</v>
      </c>
      <c r="D482" s="4" t="s">
        <v>5</v>
      </c>
      <c r="E482" s="3">
        <v>153</v>
      </c>
      <c r="F482" s="3">
        <f>Merge2[[#This Row],[Coverage]]*100</f>
        <v>69</v>
      </c>
      <c r="G482" s="1">
        <v>0.69</v>
      </c>
      <c r="H482" s="3">
        <v>35796484</v>
      </c>
      <c r="I482" s="2">
        <v>0.42741627920775682</v>
      </c>
    </row>
    <row r="483" spans="1:9" x14ac:dyDescent="0.3">
      <c r="A483" s="4" t="s">
        <v>42</v>
      </c>
      <c r="B483" s="3">
        <v>2006</v>
      </c>
      <c r="C483" s="4" t="s">
        <v>75</v>
      </c>
      <c r="D483" s="4" t="s">
        <v>5</v>
      </c>
      <c r="E483" s="3">
        <v>1847</v>
      </c>
      <c r="F483" s="3">
        <f>Merge2[[#This Row],[Coverage]]*100</f>
        <v>77</v>
      </c>
      <c r="G483" s="1">
        <v>0.77</v>
      </c>
      <c r="H483" s="3">
        <v>36904008</v>
      </c>
      <c r="I483" s="2">
        <v>5.0048764351015746</v>
      </c>
    </row>
    <row r="484" spans="1:9" x14ac:dyDescent="0.3">
      <c r="A484" s="4" t="s">
        <v>42</v>
      </c>
      <c r="B484" s="3">
        <v>2007</v>
      </c>
      <c r="C484" s="4" t="s">
        <v>75</v>
      </c>
      <c r="D484" s="4" t="s">
        <v>5</v>
      </c>
      <c r="E484" s="3">
        <v>1516</v>
      </c>
      <c r="F484" s="3">
        <f>Merge2[[#This Row],[Coverage]]*100</f>
        <v>80</v>
      </c>
      <c r="G484" s="1">
        <v>0.8</v>
      </c>
      <c r="H484" s="3">
        <v>38036349</v>
      </c>
      <c r="I484" s="2">
        <v>3.9856611895111174</v>
      </c>
    </row>
    <row r="485" spans="1:9" x14ac:dyDescent="0.3">
      <c r="A485" s="4" t="s">
        <v>42</v>
      </c>
      <c r="B485" s="3">
        <v>2008</v>
      </c>
      <c r="C485" s="4" t="s">
        <v>75</v>
      </c>
      <c r="D485" s="4" t="s">
        <v>5</v>
      </c>
      <c r="E485" s="3">
        <v>1282</v>
      </c>
      <c r="F485" s="3">
        <f>Merge2[[#This Row],[Coverage]]*100</f>
        <v>90</v>
      </c>
      <c r="G485" s="1">
        <v>0.9</v>
      </c>
      <c r="H485" s="3">
        <v>39206351</v>
      </c>
      <c r="I485" s="2">
        <v>3.2698783929164947</v>
      </c>
    </row>
    <row r="486" spans="1:9" x14ac:dyDescent="0.3">
      <c r="A486" s="4" t="s">
        <v>42</v>
      </c>
      <c r="B486" s="3">
        <v>2009</v>
      </c>
      <c r="C486" s="4" t="s">
        <v>75</v>
      </c>
      <c r="D486" s="4" t="s">
        <v>5</v>
      </c>
      <c r="E486" s="3">
        <v>1218</v>
      </c>
      <c r="F486" s="3">
        <f>Merge2[[#This Row],[Coverage]]*100</f>
        <v>88</v>
      </c>
      <c r="G486" s="1">
        <v>0.88</v>
      </c>
      <c r="H486" s="3">
        <v>40408891</v>
      </c>
      <c r="I486" s="2">
        <v>3.014188139931878</v>
      </c>
    </row>
    <row r="487" spans="1:9" x14ac:dyDescent="0.3">
      <c r="A487" s="4" t="s">
        <v>42</v>
      </c>
      <c r="B487" s="3">
        <v>2010</v>
      </c>
      <c r="C487" s="4" t="s">
        <v>75</v>
      </c>
      <c r="D487" s="4" t="s">
        <v>5</v>
      </c>
      <c r="E487" s="3">
        <v>95</v>
      </c>
      <c r="F487" s="3">
        <f>Merge2[[#This Row],[Coverage]]*100</f>
        <v>86</v>
      </c>
      <c r="G487" s="1">
        <v>0.86</v>
      </c>
      <c r="H487" s="3">
        <v>41598567</v>
      </c>
      <c r="I487" s="2">
        <v>0.22837325141512688</v>
      </c>
    </row>
    <row r="488" spans="1:9" x14ac:dyDescent="0.3">
      <c r="A488" s="4" t="s">
        <v>42</v>
      </c>
      <c r="B488" s="3">
        <v>2011</v>
      </c>
      <c r="C488" s="4" t="s">
        <v>75</v>
      </c>
      <c r="D488" s="4" t="s">
        <v>5</v>
      </c>
      <c r="E488" s="3">
        <v>2395</v>
      </c>
      <c r="F488" s="3">
        <f>Merge2[[#This Row],[Coverage]]*100</f>
        <v>87</v>
      </c>
      <c r="G488" s="1">
        <v>0.87</v>
      </c>
      <c r="H488" s="3">
        <v>42758461</v>
      </c>
      <c r="I488" s="2">
        <v>5.6012305962087829</v>
      </c>
    </row>
    <row r="489" spans="1:9" x14ac:dyDescent="0.3">
      <c r="A489" s="4" t="s">
        <v>42</v>
      </c>
      <c r="B489" s="3">
        <v>2012</v>
      </c>
      <c r="C489" s="4" t="s">
        <v>75</v>
      </c>
      <c r="D489" s="4" t="s">
        <v>5</v>
      </c>
      <c r="E489" s="3"/>
      <c r="F489" s="3">
        <f>Merge2[[#This Row],[Coverage]]*100</f>
        <v>93</v>
      </c>
      <c r="G489" s="1">
        <v>0.93</v>
      </c>
      <c r="H489" s="3">
        <v>43888303</v>
      </c>
    </row>
    <row r="490" spans="1:9" x14ac:dyDescent="0.3">
      <c r="A490" s="4" t="s">
        <v>42</v>
      </c>
      <c r="B490" s="3">
        <v>2013</v>
      </c>
      <c r="C490" s="4" t="s">
        <v>75</v>
      </c>
      <c r="D490" s="4" t="s">
        <v>5</v>
      </c>
      <c r="E490" s="3">
        <v>190</v>
      </c>
      <c r="F490" s="3">
        <f>Merge2[[#This Row],[Coverage]]*100</f>
        <v>94</v>
      </c>
      <c r="G490" s="1">
        <v>0.94</v>
      </c>
      <c r="H490" s="3">
        <v>44986791</v>
      </c>
      <c r="I490" s="2">
        <v>0.4223461949086344</v>
      </c>
    </row>
    <row r="491" spans="1:9" x14ac:dyDescent="0.3">
      <c r="A491" s="4" t="s">
        <v>42</v>
      </c>
      <c r="B491" s="3">
        <v>2014</v>
      </c>
      <c r="C491" s="4" t="s">
        <v>75</v>
      </c>
      <c r="D491" s="4" t="s">
        <v>5</v>
      </c>
      <c r="E491" s="3">
        <v>354</v>
      </c>
      <c r="F491" s="3">
        <f>Merge2[[#This Row],[Coverage]]*100</f>
        <v>95</v>
      </c>
      <c r="G491" s="1">
        <v>0.95</v>
      </c>
      <c r="H491" s="3">
        <v>46051440</v>
      </c>
      <c r="I491" s="2">
        <v>0.76870560399414234</v>
      </c>
    </row>
    <row r="492" spans="1:9" x14ac:dyDescent="0.3">
      <c r="A492" s="4" t="s">
        <v>42</v>
      </c>
      <c r="B492" s="3">
        <v>2015</v>
      </c>
      <c r="C492" s="4" t="s">
        <v>75</v>
      </c>
      <c r="D492" s="4" t="s">
        <v>5</v>
      </c>
      <c r="E492" s="3">
        <v>95</v>
      </c>
      <c r="F492" s="3">
        <f>Merge2[[#This Row],[Coverage]]*100</f>
        <v>96</v>
      </c>
      <c r="G492" s="1">
        <v>0.96</v>
      </c>
      <c r="H492" s="3">
        <v>47088526</v>
      </c>
      <c r="I492" s="2">
        <v>0.20174766141543696</v>
      </c>
    </row>
    <row r="493" spans="1:9" x14ac:dyDescent="0.3">
      <c r="A493" s="4" t="s">
        <v>42</v>
      </c>
      <c r="B493" s="3">
        <v>2016</v>
      </c>
      <c r="C493" s="4" t="s">
        <v>75</v>
      </c>
      <c r="D493" s="4" t="s">
        <v>5</v>
      </c>
      <c r="E493" s="3">
        <v>128</v>
      </c>
      <c r="F493" s="3">
        <f>Merge2[[#This Row],[Coverage]]*100</f>
        <v>93</v>
      </c>
      <c r="G493" s="1">
        <v>0.93</v>
      </c>
      <c r="H493" s="3">
        <v>48139687</v>
      </c>
      <c r="I493" s="2">
        <v>0.26589287961095387</v>
      </c>
    </row>
    <row r="494" spans="1:9" x14ac:dyDescent="0.3">
      <c r="A494" s="4" t="s">
        <v>42</v>
      </c>
      <c r="B494" s="3">
        <v>2017</v>
      </c>
      <c r="C494" s="4" t="s">
        <v>75</v>
      </c>
      <c r="D494" s="4" t="s">
        <v>5</v>
      </c>
      <c r="E494" s="3">
        <v>63</v>
      </c>
      <c r="F494" s="3">
        <f>Merge2[[#This Row],[Coverage]]*100</f>
        <v>84</v>
      </c>
      <c r="G494" s="1">
        <v>0.84</v>
      </c>
      <c r="H494" s="3">
        <v>49197766</v>
      </c>
      <c r="I494" s="2">
        <v>0.12805459499929325</v>
      </c>
    </row>
    <row r="495" spans="1:9" x14ac:dyDescent="0.3">
      <c r="A495" s="4" t="s">
        <v>42</v>
      </c>
      <c r="B495" s="3">
        <v>2018</v>
      </c>
      <c r="C495" s="4" t="s">
        <v>75</v>
      </c>
      <c r="D495" s="4" t="s">
        <v>5</v>
      </c>
      <c r="E495" s="3">
        <v>822</v>
      </c>
      <c r="F495" s="3">
        <f>Merge2[[#This Row],[Coverage]]*100</f>
        <v>92</v>
      </c>
      <c r="G495" s="1">
        <v>0.92</v>
      </c>
      <c r="H495" s="3">
        <v>50207107</v>
      </c>
      <c r="I495" s="2">
        <v>1.6372184121263949</v>
      </c>
    </row>
    <row r="496" spans="1:9" x14ac:dyDescent="0.3">
      <c r="A496" s="4" t="s">
        <v>42</v>
      </c>
      <c r="B496" s="3">
        <v>2019</v>
      </c>
      <c r="C496" s="4" t="s">
        <v>75</v>
      </c>
      <c r="D496" s="4" t="s">
        <v>5</v>
      </c>
      <c r="E496" s="3">
        <v>439</v>
      </c>
      <c r="F496" s="3">
        <f>Merge2[[#This Row],[Coverage]]*100</f>
        <v>92</v>
      </c>
      <c r="G496" s="1">
        <v>0.92</v>
      </c>
      <c r="H496" s="3">
        <v>51202827</v>
      </c>
      <c r="I496" s="2">
        <v>0.85737453519900375</v>
      </c>
    </row>
    <row r="497" spans="1:9" x14ac:dyDescent="0.3">
      <c r="A497" s="4" t="s">
        <v>42</v>
      </c>
      <c r="B497" s="3">
        <v>2020</v>
      </c>
      <c r="C497" s="4" t="s">
        <v>75</v>
      </c>
      <c r="D497" s="4" t="s">
        <v>5</v>
      </c>
      <c r="E497" s="3">
        <v>597</v>
      </c>
      <c r="F497" s="3">
        <f>Merge2[[#This Row],[Coverage]]*100</f>
        <v>89</v>
      </c>
      <c r="G497" s="1">
        <v>0.89</v>
      </c>
      <c r="H497" s="3">
        <v>52217334</v>
      </c>
      <c r="I497" s="2">
        <v>1.1432985069670543</v>
      </c>
    </row>
    <row r="498" spans="1:9" x14ac:dyDescent="0.3">
      <c r="A498" s="4" t="s">
        <v>42</v>
      </c>
      <c r="B498" s="3">
        <v>2021</v>
      </c>
      <c r="C498" s="4" t="s">
        <v>75</v>
      </c>
      <c r="D498" s="4" t="s">
        <v>5</v>
      </c>
      <c r="E498" s="3">
        <v>266</v>
      </c>
      <c r="F498" s="3">
        <f>Merge2[[#This Row],[Coverage]]*100</f>
        <v>90</v>
      </c>
      <c r="G498" s="1">
        <v>0.9</v>
      </c>
      <c r="H498" s="3">
        <v>53219166</v>
      </c>
      <c r="I498" s="2">
        <v>0.49981993329245333</v>
      </c>
    </row>
    <row r="499" spans="1:9" x14ac:dyDescent="0.3">
      <c r="A499" s="4" t="s">
        <v>42</v>
      </c>
      <c r="B499" s="3">
        <v>2022</v>
      </c>
      <c r="C499" s="4" t="s">
        <v>75</v>
      </c>
      <c r="D499" s="4" t="s">
        <v>5</v>
      </c>
      <c r="E499" s="3">
        <v>1774</v>
      </c>
      <c r="F499" s="3">
        <f>Merge2[[#This Row],[Coverage]]*100</f>
        <v>89</v>
      </c>
      <c r="G499" s="1">
        <v>0.89</v>
      </c>
      <c r="H499" s="3">
        <v>54252461</v>
      </c>
      <c r="I499" s="2">
        <v>3.269897747127084</v>
      </c>
    </row>
    <row r="500" spans="1:9" x14ac:dyDescent="0.3">
      <c r="A500" s="4" t="s">
        <v>42</v>
      </c>
      <c r="B500" s="3">
        <v>2023</v>
      </c>
      <c r="C500" s="4" t="s">
        <v>75</v>
      </c>
      <c r="D500" s="4" t="s">
        <v>5</v>
      </c>
      <c r="E500" s="3">
        <v>896</v>
      </c>
      <c r="F500" s="3">
        <f>Merge2[[#This Row],[Coverage]]*100</f>
        <v>91</v>
      </c>
      <c r="G500" s="1">
        <v>0.91</v>
      </c>
      <c r="H500" s="3">
        <v>55339003</v>
      </c>
      <c r="I500" s="2">
        <v>1.6191112080570009</v>
      </c>
    </row>
    <row r="501" spans="1:9" x14ac:dyDescent="0.3">
      <c r="A501" s="4" t="s">
        <v>42</v>
      </c>
      <c r="B501" s="3">
        <v>2024</v>
      </c>
      <c r="C501" s="4" t="s">
        <v>75</v>
      </c>
      <c r="D501" s="4" t="s">
        <v>5</v>
      </c>
      <c r="E501" s="3">
        <v>1417</v>
      </c>
      <c r="F501" s="3">
        <f>Merge2[[#This Row],[Coverage]]*100</f>
        <v>88</v>
      </c>
      <c r="G501" s="1">
        <v>0.88</v>
      </c>
      <c r="H501" s="3">
        <v>56432944</v>
      </c>
      <c r="I501" s="2">
        <v>2.5109446709000331</v>
      </c>
    </row>
    <row r="502" spans="1:9" x14ac:dyDescent="0.3">
      <c r="A502" s="4" t="s">
        <v>44</v>
      </c>
      <c r="B502" s="3">
        <v>2000</v>
      </c>
      <c r="C502" s="4" t="s">
        <v>76</v>
      </c>
      <c r="D502" s="4" t="s">
        <v>5</v>
      </c>
      <c r="E502" s="3">
        <v>5977</v>
      </c>
      <c r="F502" s="3">
        <f>Merge2[[#This Row],[Coverage]]*100</f>
        <v>63</v>
      </c>
      <c r="G502" s="1">
        <v>0.63</v>
      </c>
      <c r="H502" s="3">
        <v>2928117</v>
      </c>
      <c r="I502" s="2">
        <v>204.12435705267242</v>
      </c>
    </row>
    <row r="503" spans="1:9" x14ac:dyDescent="0.3">
      <c r="A503" s="4" t="s">
        <v>44</v>
      </c>
      <c r="B503" s="3">
        <v>2001</v>
      </c>
      <c r="C503" s="4" t="s">
        <v>76</v>
      </c>
      <c r="D503" s="4" t="s">
        <v>5</v>
      </c>
      <c r="E503" s="3">
        <v>1379</v>
      </c>
      <c r="F503" s="3">
        <f>Merge2[[#This Row],[Coverage]]*100</f>
        <v>57.999999999999993</v>
      </c>
      <c r="G503" s="1">
        <v>0.57999999999999996</v>
      </c>
      <c r="H503" s="3">
        <v>3015338</v>
      </c>
      <c r="I503" s="2">
        <v>45.732849849668597</v>
      </c>
    </row>
    <row r="504" spans="1:9" x14ac:dyDescent="0.3">
      <c r="A504" s="4" t="s">
        <v>44</v>
      </c>
      <c r="B504" s="3">
        <v>2002</v>
      </c>
      <c r="C504" s="4" t="s">
        <v>76</v>
      </c>
      <c r="D504" s="4" t="s">
        <v>5</v>
      </c>
      <c r="E504" s="3">
        <v>131</v>
      </c>
      <c r="F504" s="3">
        <f>Merge2[[#This Row],[Coverage]]*100</f>
        <v>52</v>
      </c>
      <c r="G504" s="1">
        <v>0.52</v>
      </c>
      <c r="H504" s="3">
        <v>3094782</v>
      </c>
      <c r="I504" s="2">
        <v>4.2329314310345607</v>
      </c>
    </row>
    <row r="505" spans="1:9" x14ac:dyDescent="0.3">
      <c r="A505" s="4" t="s">
        <v>44</v>
      </c>
      <c r="B505" s="3">
        <v>2003</v>
      </c>
      <c r="C505" s="4" t="s">
        <v>76</v>
      </c>
      <c r="D505" s="4" t="s">
        <v>5</v>
      </c>
      <c r="E505" s="3">
        <v>142</v>
      </c>
      <c r="F505" s="3">
        <f>Merge2[[#This Row],[Coverage]]*100</f>
        <v>47</v>
      </c>
      <c r="G505" s="1">
        <v>0.47</v>
      </c>
      <c r="H505" s="3">
        <v>3119532</v>
      </c>
      <c r="I505" s="2">
        <v>4.5519648460089526</v>
      </c>
    </row>
    <row r="506" spans="1:9" x14ac:dyDescent="0.3">
      <c r="A506" s="4" t="s">
        <v>44</v>
      </c>
      <c r="B506" s="3">
        <v>2004</v>
      </c>
      <c r="C506" s="4" t="s">
        <v>76</v>
      </c>
      <c r="D506" s="4" t="s">
        <v>5</v>
      </c>
      <c r="E506" s="3">
        <v>4</v>
      </c>
      <c r="F506" s="3">
        <f>Merge2[[#This Row],[Coverage]]*100</f>
        <v>41</v>
      </c>
      <c r="G506" s="1">
        <v>0.41</v>
      </c>
      <c r="H506" s="3">
        <v>3156892</v>
      </c>
      <c r="I506" s="2">
        <v>0.12670690033108514</v>
      </c>
    </row>
    <row r="507" spans="1:9" x14ac:dyDescent="0.3">
      <c r="A507" s="4" t="s">
        <v>44</v>
      </c>
      <c r="B507" s="3">
        <v>2005</v>
      </c>
      <c r="C507" s="4" t="s">
        <v>76</v>
      </c>
      <c r="D507" s="4" t="s">
        <v>5</v>
      </c>
      <c r="E507" s="3">
        <v>8</v>
      </c>
      <c r="F507" s="3">
        <f>Merge2[[#This Row],[Coverage]]*100</f>
        <v>62</v>
      </c>
      <c r="G507" s="1">
        <v>0.62</v>
      </c>
      <c r="H507" s="3">
        <v>3301015</v>
      </c>
      <c r="I507" s="2">
        <v>0.24234970153119573</v>
      </c>
    </row>
    <row r="508" spans="1:9" x14ac:dyDescent="0.3">
      <c r="A508" s="4" t="s">
        <v>44</v>
      </c>
      <c r="B508" s="3">
        <v>2006</v>
      </c>
      <c r="C508" s="4" t="s">
        <v>76</v>
      </c>
      <c r="D508" s="4" t="s">
        <v>5</v>
      </c>
      <c r="E508" s="3">
        <v>20</v>
      </c>
      <c r="F508" s="3">
        <f>Merge2[[#This Row],[Coverage]]*100</f>
        <v>63</v>
      </c>
      <c r="G508" s="1">
        <v>0.63</v>
      </c>
      <c r="H508" s="3">
        <v>3490787</v>
      </c>
      <c r="I508" s="2">
        <v>0.57293670453109857</v>
      </c>
    </row>
    <row r="509" spans="1:9" x14ac:dyDescent="0.3">
      <c r="A509" s="4" t="s">
        <v>44</v>
      </c>
      <c r="B509" s="3">
        <v>2007</v>
      </c>
      <c r="C509" s="4" t="s">
        <v>76</v>
      </c>
      <c r="D509" s="4" t="s">
        <v>5</v>
      </c>
      <c r="E509" s="3">
        <v>1</v>
      </c>
      <c r="F509" s="3">
        <f>Merge2[[#This Row],[Coverage]]*100</f>
        <v>71</v>
      </c>
      <c r="G509" s="1">
        <v>0.71</v>
      </c>
      <c r="H509" s="3">
        <v>3669050</v>
      </c>
      <c r="I509" s="2">
        <v>2.7255011515242365E-2</v>
      </c>
    </row>
    <row r="510" spans="1:9" x14ac:dyDescent="0.3">
      <c r="A510" s="4" t="s">
        <v>44</v>
      </c>
      <c r="B510" s="3">
        <v>2008</v>
      </c>
      <c r="C510" s="4" t="s">
        <v>76</v>
      </c>
      <c r="D510" s="4" t="s">
        <v>5</v>
      </c>
      <c r="E510" s="3">
        <v>1</v>
      </c>
      <c r="F510" s="3">
        <f>Merge2[[#This Row],[Coverage]]*100</f>
        <v>76</v>
      </c>
      <c r="G510" s="1">
        <v>0.76</v>
      </c>
      <c r="H510" s="3">
        <v>3821003</v>
      </c>
      <c r="I510" s="2">
        <v>2.6171138834489269E-2</v>
      </c>
    </row>
    <row r="511" spans="1:9" x14ac:dyDescent="0.3">
      <c r="A511" s="4" t="s">
        <v>44</v>
      </c>
      <c r="B511" s="3">
        <v>2009</v>
      </c>
      <c r="C511" s="4" t="s">
        <v>76</v>
      </c>
      <c r="D511" s="4" t="s">
        <v>5</v>
      </c>
      <c r="E511" s="3">
        <v>6</v>
      </c>
      <c r="F511" s="3">
        <f>Merge2[[#This Row],[Coverage]]*100</f>
        <v>83</v>
      </c>
      <c r="G511" s="1">
        <v>0.83</v>
      </c>
      <c r="H511" s="3">
        <v>3943028</v>
      </c>
      <c r="I511" s="2">
        <v>0.15216731912631612</v>
      </c>
    </row>
    <row r="512" spans="1:9" x14ac:dyDescent="0.3">
      <c r="A512" s="4" t="s">
        <v>44</v>
      </c>
      <c r="B512" s="3">
        <v>2010</v>
      </c>
      <c r="C512" s="4" t="s">
        <v>76</v>
      </c>
      <c r="D512" s="4" t="s">
        <v>5</v>
      </c>
      <c r="E512" s="3">
        <v>2200</v>
      </c>
      <c r="F512" s="3">
        <f>Merge2[[#This Row],[Coverage]]*100</f>
        <v>65</v>
      </c>
      <c r="G512" s="1">
        <v>0.65</v>
      </c>
      <c r="H512" s="3">
        <v>4058890</v>
      </c>
      <c r="I512" s="2">
        <v>54.202010894604193</v>
      </c>
    </row>
    <row r="513" spans="1:9" x14ac:dyDescent="0.3">
      <c r="A513" s="4" t="s">
        <v>44</v>
      </c>
      <c r="B513" s="3">
        <v>2011</v>
      </c>
      <c r="C513" s="4" t="s">
        <v>76</v>
      </c>
      <c r="D513" s="4" t="s">
        <v>5</v>
      </c>
      <c r="E513" s="3">
        <v>279</v>
      </c>
      <c r="F513" s="3">
        <f>Merge2[[#This Row],[Coverage]]*100</f>
        <v>71</v>
      </c>
      <c r="G513" s="1">
        <v>0.71</v>
      </c>
      <c r="H513" s="3">
        <v>4221178</v>
      </c>
      <c r="I513" s="2">
        <v>6.6095293778182294</v>
      </c>
    </row>
    <row r="514" spans="1:9" x14ac:dyDescent="0.3">
      <c r="A514" s="4" t="s">
        <v>44</v>
      </c>
      <c r="B514" s="3">
        <v>2012</v>
      </c>
      <c r="C514" s="4" t="s">
        <v>76</v>
      </c>
      <c r="D514" s="4" t="s">
        <v>5</v>
      </c>
      <c r="E514" s="3">
        <v>43</v>
      </c>
      <c r="F514" s="3">
        <f>Merge2[[#This Row],[Coverage]]*100</f>
        <v>80</v>
      </c>
      <c r="G514" s="1">
        <v>0.8</v>
      </c>
      <c r="H514" s="3">
        <v>4373043</v>
      </c>
      <c r="I514" s="2">
        <v>0.98329698564592205</v>
      </c>
    </row>
    <row r="515" spans="1:9" x14ac:dyDescent="0.3">
      <c r="A515" s="4" t="s">
        <v>44</v>
      </c>
      <c r="B515" s="3">
        <v>2013</v>
      </c>
      <c r="C515" s="4" t="s">
        <v>76</v>
      </c>
      <c r="D515" s="4" t="s">
        <v>5</v>
      </c>
      <c r="E515" s="3">
        <v>0</v>
      </c>
      <c r="F515" s="3">
        <f>Merge2[[#This Row],[Coverage]]*100</f>
        <v>74</v>
      </c>
      <c r="G515" s="1">
        <v>0.74</v>
      </c>
      <c r="H515" s="3">
        <v>4470239</v>
      </c>
      <c r="I515" s="2">
        <v>0</v>
      </c>
    </row>
    <row r="516" spans="1:9" x14ac:dyDescent="0.3">
      <c r="A516" s="4" t="s">
        <v>44</v>
      </c>
      <c r="B516" s="3">
        <v>2014</v>
      </c>
      <c r="C516" s="4" t="s">
        <v>76</v>
      </c>
      <c r="D516" s="4" t="s">
        <v>5</v>
      </c>
      <c r="E516" s="3">
        <v>34</v>
      </c>
      <c r="F516" s="3">
        <f>Merge2[[#This Row],[Coverage]]*100</f>
        <v>57.999999999999993</v>
      </c>
      <c r="G516" s="1">
        <v>0.57999999999999996</v>
      </c>
      <c r="H516" s="3">
        <v>4564293</v>
      </c>
      <c r="I516" s="2">
        <v>0.7449127389499316</v>
      </c>
    </row>
    <row r="517" spans="1:9" x14ac:dyDescent="0.3">
      <c r="A517" s="4" t="s">
        <v>44</v>
      </c>
      <c r="B517" s="3">
        <v>2015</v>
      </c>
      <c r="C517" s="4" t="s">
        <v>76</v>
      </c>
      <c r="D517" s="4" t="s">
        <v>5</v>
      </c>
      <c r="E517" s="3">
        <v>1060</v>
      </c>
      <c r="F517" s="3">
        <f>Merge2[[#This Row],[Coverage]]*100</f>
        <v>64</v>
      </c>
      <c r="G517" s="1">
        <v>0.64</v>
      </c>
      <c r="H517" s="3">
        <v>4659431</v>
      </c>
      <c r="I517" s="2">
        <v>22.749558905368488</v>
      </c>
    </row>
    <row r="518" spans="1:9" x14ac:dyDescent="0.3">
      <c r="A518" s="4" t="s">
        <v>44</v>
      </c>
      <c r="B518" s="3">
        <v>2016</v>
      </c>
      <c r="C518" s="4" t="s">
        <v>76</v>
      </c>
      <c r="D518" s="4" t="s">
        <v>5</v>
      </c>
      <c r="E518" s="3">
        <v>789</v>
      </c>
      <c r="F518" s="3">
        <f>Merge2[[#This Row],[Coverage]]*100</f>
        <v>70</v>
      </c>
      <c r="G518" s="1">
        <v>0.7</v>
      </c>
      <c r="H518" s="3">
        <v>4755608</v>
      </c>
      <c r="I518" s="2">
        <v>16.590938529836773</v>
      </c>
    </row>
    <row r="519" spans="1:9" x14ac:dyDescent="0.3">
      <c r="A519" s="4" t="s">
        <v>44</v>
      </c>
      <c r="B519" s="3">
        <v>2017</v>
      </c>
      <c r="C519" s="4" t="s">
        <v>76</v>
      </c>
      <c r="D519" s="4" t="s">
        <v>5</v>
      </c>
      <c r="E519" s="3">
        <v>960</v>
      </c>
      <c r="F519" s="3">
        <f>Merge2[[#This Row],[Coverage]]*100</f>
        <v>75</v>
      </c>
      <c r="G519" s="1">
        <v>0.75</v>
      </c>
      <c r="H519" s="3">
        <v>4848925</v>
      </c>
      <c r="I519" s="2">
        <v>19.79820269441165</v>
      </c>
    </row>
    <row r="520" spans="1:9" x14ac:dyDescent="0.3">
      <c r="A520" s="4" t="s">
        <v>44</v>
      </c>
      <c r="B520" s="3">
        <v>2018</v>
      </c>
      <c r="C520" s="4" t="s">
        <v>76</v>
      </c>
      <c r="D520" s="4" t="s">
        <v>5</v>
      </c>
      <c r="E520" s="3">
        <v>3781</v>
      </c>
      <c r="F520" s="3">
        <f>Merge2[[#This Row],[Coverage]]*100</f>
        <v>74</v>
      </c>
      <c r="G520" s="1">
        <v>0.74</v>
      </c>
      <c r="H520" s="3">
        <v>4944726</v>
      </c>
      <c r="I520" s="2">
        <v>76.465308694556583</v>
      </c>
    </row>
    <row r="521" spans="1:9" x14ac:dyDescent="0.3">
      <c r="A521" s="4" t="s">
        <v>44</v>
      </c>
      <c r="B521" s="3">
        <v>2019</v>
      </c>
      <c r="C521" s="4" t="s">
        <v>76</v>
      </c>
      <c r="D521" s="4" t="s">
        <v>5</v>
      </c>
      <c r="E521" s="3">
        <v>1203</v>
      </c>
      <c r="F521" s="3">
        <f>Merge2[[#This Row],[Coverage]]*100</f>
        <v>68</v>
      </c>
      <c r="G521" s="1">
        <v>0.68</v>
      </c>
      <c r="H521" s="3">
        <v>5043721</v>
      </c>
      <c r="I521" s="2">
        <v>23.851438253622675</v>
      </c>
    </row>
    <row r="522" spans="1:9" x14ac:dyDescent="0.3">
      <c r="A522" s="4" t="s">
        <v>44</v>
      </c>
      <c r="B522" s="3">
        <v>2020</v>
      </c>
      <c r="C522" s="4" t="s">
        <v>76</v>
      </c>
      <c r="D522" s="4" t="s">
        <v>5</v>
      </c>
      <c r="E522" s="3">
        <v>884</v>
      </c>
      <c r="F522" s="3">
        <f>Merge2[[#This Row],[Coverage]]*100</f>
        <v>61</v>
      </c>
      <c r="G522" s="1">
        <v>0.61</v>
      </c>
      <c r="H522" s="3">
        <v>5149463</v>
      </c>
      <c r="I522" s="2">
        <v>17.166838561613122</v>
      </c>
    </row>
    <row r="523" spans="1:9" x14ac:dyDescent="0.3">
      <c r="A523" s="4" t="s">
        <v>44</v>
      </c>
      <c r="B523" s="3">
        <v>2021</v>
      </c>
      <c r="C523" s="4" t="s">
        <v>76</v>
      </c>
      <c r="D523" s="4" t="s">
        <v>5</v>
      </c>
      <c r="E523" s="3">
        <v>250</v>
      </c>
      <c r="F523" s="3">
        <f>Merge2[[#This Row],[Coverage]]*100</f>
        <v>57.999999999999993</v>
      </c>
      <c r="G523" s="1">
        <v>0.57999999999999996</v>
      </c>
      <c r="H523" s="3">
        <v>5259323</v>
      </c>
      <c r="I523" s="2">
        <v>4.7534635161217516</v>
      </c>
    </row>
    <row r="524" spans="1:9" x14ac:dyDescent="0.3">
      <c r="A524" s="4" t="s">
        <v>44</v>
      </c>
      <c r="B524" s="3">
        <v>2022</v>
      </c>
      <c r="C524" s="4" t="s">
        <v>76</v>
      </c>
      <c r="D524" s="4" t="s">
        <v>5</v>
      </c>
      <c r="E524" s="3">
        <v>8300</v>
      </c>
      <c r="F524" s="3">
        <f>Merge2[[#This Row],[Coverage]]*100</f>
        <v>79</v>
      </c>
      <c r="G524" s="1">
        <v>0.79</v>
      </c>
      <c r="H524" s="3">
        <v>5373294</v>
      </c>
      <c r="I524" s="2">
        <v>154.4676319590925</v>
      </c>
    </row>
    <row r="525" spans="1:9" x14ac:dyDescent="0.3">
      <c r="A525" s="4" t="s">
        <v>44</v>
      </c>
      <c r="B525" s="3">
        <v>2023</v>
      </c>
      <c r="C525" s="4" t="s">
        <v>76</v>
      </c>
      <c r="D525" s="4" t="s">
        <v>5</v>
      </c>
      <c r="E525" s="3">
        <v>4604</v>
      </c>
      <c r="F525" s="3">
        <f>Merge2[[#This Row],[Coverage]]*100</f>
        <v>82</v>
      </c>
      <c r="G525" s="1">
        <v>0.82</v>
      </c>
      <c r="H525" s="3">
        <v>5493031</v>
      </c>
      <c r="I525" s="2">
        <v>83.815292504265855</v>
      </c>
    </row>
    <row r="526" spans="1:9" x14ac:dyDescent="0.3">
      <c r="A526" s="4" t="s">
        <v>44</v>
      </c>
      <c r="B526" s="3">
        <v>2024</v>
      </c>
      <c r="C526" s="4" t="s">
        <v>76</v>
      </c>
      <c r="D526" s="4" t="s">
        <v>5</v>
      </c>
      <c r="E526" s="3">
        <v>1053</v>
      </c>
      <c r="F526" s="3">
        <f>Merge2[[#This Row],[Coverage]]*100</f>
        <v>82</v>
      </c>
      <c r="G526" s="1">
        <v>0.82</v>
      </c>
      <c r="H526" s="3">
        <v>5612817</v>
      </c>
      <c r="I526" s="2">
        <v>18.760633029724648</v>
      </c>
    </row>
    <row r="527" spans="1:9" x14ac:dyDescent="0.3">
      <c r="A527" s="4" t="s">
        <v>43</v>
      </c>
      <c r="B527" s="3">
        <v>2000</v>
      </c>
      <c r="C527" s="4" t="s">
        <v>77</v>
      </c>
      <c r="D527" s="4" t="s">
        <v>5</v>
      </c>
      <c r="E527" s="3">
        <v>660</v>
      </c>
      <c r="F527" s="3">
        <f>Merge2[[#This Row],[Coverage]]*100</f>
        <v>74</v>
      </c>
      <c r="G527" s="1">
        <v>0.74</v>
      </c>
      <c r="H527" s="3">
        <v>2003913</v>
      </c>
      <c r="I527" s="2">
        <v>32.935561573780895</v>
      </c>
    </row>
    <row r="528" spans="1:9" x14ac:dyDescent="0.3">
      <c r="A528" s="4" t="s">
        <v>43</v>
      </c>
      <c r="B528" s="3">
        <v>2001</v>
      </c>
      <c r="C528" s="4" t="s">
        <v>77</v>
      </c>
      <c r="D528" s="4" t="s">
        <v>5</v>
      </c>
      <c r="E528" s="3">
        <v>217</v>
      </c>
      <c r="F528" s="3">
        <f>Merge2[[#This Row],[Coverage]]*100</f>
        <v>70</v>
      </c>
      <c r="G528" s="1">
        <v>0.7</v>
      </c>
      <c r="H528" s="3">
        <v>2000853</v>
      </c>
      <c r="I528" s="2">
        <v>10.845374447798015</v>
      </c>
    </row>
    <row r="529" spans="1:9" x14ac:dyDescent="0.3">
      <c r="A529" s="4" t="s">
        <v>43</v>
      </c>
      <c r="B529" s="3">
        <v>2002</v>
      </c>
      <c r="C529" s="4" t="s">
        <v>77</v>
      </c>
      <c r="D529" s="4" t="s">
        <v>5</v>
      </c>
      <c r="E529" s="3">
        <v>0</v>
      </c>
      <c r="F529" s="3">
        <f>Merge2[[#This Row],[Coverage]]*100</f>
        <v>78</v>
      </c>
      <c r="G529" s="1">
        <v>0.78</v>
      </c>
      <c r="H529" s="3">
        <v>1994679</v>
      </c>
      <c r="I529" s="2">
        <v>0</v>
      </c>
    </row>
    <row r="530" spans="1:9" x14ac:dyDescent="0.3">
      <c r="A530" s="4" t="s">
        <v>43</v>
      </c>
      <c r="B530" s="3">
        <v>2003</v>
      </c>
      <c r="C530" s="4" t="s">
        <v>77</v>
      </c>
      <c r="D530" s="4" t="s">
        <v>5</v>
      </c>
      <c r="E530" s="3">
        <v>1</v>
      </c>
      <c r="F530" s="3">
        <f>Merge2[[#This Row],[Coverage]]*100</f>
        <v>85</v>
      </c>
      <c r="G530" s="1">
        <v>0.85</v>
      </c>
      <c r="H530" s="3">
        <v>1985059</v>
      </c>
      <c r="I530" s="2">
        <v>5.0376336421234832E-2</v>
      </c>
    </row>
    <row r="531" spans="1:9" x14ac:dyDescent="0.3">
      <c r="A531" s="4" t="s">
        <v>43</v>
      </c>
      <c r="B531" s="3">
        <v>2004</v>
      </c>
      <c r="C531" s="4" t="s">
        <v>77</v>
      </c>
      <c r="D531" s="4" t="s">
        <v>5</v>
      </c>
      <c r="E531" s="3">
        <v>31</v>
      </c>
      <c r="F531" s="3">
        <f>Merge2[[#This Row],[Coverage]]*100</f>
        <v>84</v>
      </c>
      <c r="G531" s="1">
        <v>0.84</v>
      </c>
      <c r="H531" s="3">
        <v>1971129</v>
      </c>
      <c r="I531" s="2">
        <v>1.5727027505556461</v>
      </c>
    </row>
    <row r="532" spans="1:9" x14ac:dyDescent="0.3">
      <c r="A532" s="4" t="s">
        <v>43</v>
      </c>
      <c r="B532" s="3">
        <v>2005</v>
      </c>
      <c r="C532" s="4" t="s">
        <v>77</v>
      </c>
      <c r="D532" s="4" t="s">
        <v>5</v>
      </c>
      <c r="E532" s="3"/>
      <c r="F532" s="3">
        <f>Merge2[[#This Row],[Coverage]]*100</f>
        <v>83</v>
      </c>
      <c r="G532" s="1">
        <v>0.83</v>
      </c>
      <c r="H532" s="3">
        <v>1953076</v>
      </c>
    </row>
    <row r="533" spans="1:9" x14ac:dyDescent="0.3">
      <c r="A533" s="4" t="s">
        <v>43</v>
      </c>
      <c r="B533" s="3">
        <v>2006</v>
      </c>
      <c r="C533" s="4" t="s">
        <v>77</v>
      </c>
      <c r="D533" s="4" t="s">
        <v>5</v>
      </c>
      <c r="E533" s="3">
        <v>1</v>
      </c>
      <c r="F533" s="3">
        <f>Merge2[[#This Row],[Coverage]]*100</f>
        <v>82</v>
      </c>
      <c r="G533" s="1">
        <v>0.82</v>
      </c>
      <c r="H533" s="3">
        <v>1945063</v>
      </c>
      <c r="I533" s="2">
        <v>5.1412216468052704E-2</v>
      </c>
    </row>
    <row r="534" spans="1:9" x14ac:dyDescent="0.3">
      <c r="A534" s="4" t="s">
        <v>43</v>
      </c>
      <c r="B534" s="3">
        <v>2007</v>
      </c>
      <c r="C534" s="4" t="s">
        <v>77</v>
      </c>
      <c r="D534" s="4" t="s">
        <v>5</v>
      </c>
      <c r="E534" s="3">
        <v>2</v>
      </c>
      <c r="F534" s="3">
        <f>Merge2[[#This Row],[Coverage]]*100</f>
        <v>81</v>
      </c>
      <c r="G534" s="1">
        <v>0.81</v>
      </c>
      <c r="H534" s="3">
        <v>1953268</v>
      </c>
      <c r="I534" s="2">
        <v>0.10239250323048346</v>
      </c>
    </row>
    <row r="535" spans="1:9" x14ac:dyDescent="0.3">
      <c r="A535" s="4" t="s">
        <v>43</v>
      </c>
      <c r="B535" s="3">
        <v>2008</v>
      </c>
      <c r="C535" s="4" t="s">
        <v>77</v>
      </c>
      <c r="D535" s="4" t="s">
        <v>5</v>
      </c>
      <c r="E535" s="3">
        <v>0</v>
      </c>
      <c r="F535" s="3">
        <f>Merge2[[#This Row],[Coverage]]*100</f>
        <v>80</v>
      </c>
      <c r="G535" s="1">
        <v>0.8</v>
      </c>
      <c r="H535" s="3">
        <v>1966541</v>
      </c>
      <c r="I535" s="2">
        <v>0</v>
      </c>
    </row>
    <row r="536" spans="1:9" x14ac:dyDescent="0.3">
      <c r="A536" s="4" t="s">
        <v>43</v>
      </c>
      <c r="B536" s="3">
        <v>2009</v>
      </c>
      <c r="C536" s="4" t="s">
        <v>77</v>
      </c>
      <c r="D536" s="4" t="s">
        <v>5</v>
      </c>
      <c r="E536" s="3">
        <v>0</v>
      </c>
      <c r="F536" s="3">
        <f>Merge2[[#This Row],[Coverage]]*100</f>
        <v>84</v>
      </c>
      <c r="G536" s="1">
        <v>0.84</v>
      </c>
      <c r="H536" s="3">
        <v>1980883</v>
      </c>
      <c r="I536" s="2">
        <v>0</v>
      </c>
    </row>
    <row r="537" spans="1:9" x14ac:dyDescent="0.3">
      <c r="A537" s="4" t="s">
        <v>43</v>
      </c>
      <c r="B537" s="3">
        <v>2010</v>
      </c>
      <c r="C537" s="4" t="s">
        <v>77</v>
      </c>
      <c r="D537" s="4" t="s">
        <v>5</v>
      </c>
      <c r="E537" s="3">
        <v>2488</v>
      </c>
      <c r="F537" s="3">
        <f>Merge2[[#This Row],[Coverage]]*100</f>
        <v>88</v>
      </c>
      <c r="G537" s="1">
        <v>0.88</v>
      </c>
      <c r="H537" s="3">
        <v>1996251</v>
      </c>
      <c r="I537" s="2">
        <v>124.63362573143357</v>
      </c>
    </row>
    <row r="538" spans="1:9" x14ac:dyDescent="0.3">
      <c r="A538" s="4" t="s">
        <v>43</v>
      </c>
      <c r="B538" s="3">
        <v>2011</v>
      </c>
      <c r="C538" s="4" t="s">
        <v>77</v>
      </c>
      <c r="D538" s="4" t="s">
        <v>5</v>
      </c>
      <c r="E538" s="3">
        <v>172</v>
      </c>
      <c r="F538" s="3">
        <f>Merge2[[#This Row],[Coverage]]*100</f>
        <v>92</v>
      </c>
      <c r="G538" s="1">
        <v>0.92</v>
      </c>
      <c r="H538" s="3">
        <v>2014009</v>
      </c>
      <c r="I538" s="2">
        <v>8.5401803070393427</v>
      </c>
    </row>
    <row r="539" spans="1:9" x14ac:dyDescent="0.3">
      <c r="A539" s="4" t="s">
        <v>43</v>
      </c>
      <c r="B539" s="3">
        <v>2012</v>
      </c>
      <c r="C539" s="4" t="s">
        <v>77</v>
      </c>
      <c r="D539" s="4" t="s">
        <v>5</v>
      </c>
      <c r="E539" s="3">
        <v>179</v>
      </c>
      <c r="F539" s="3">
        <f>Merge2[[#This Row],[Coverage]]*100</f>
        <v>91</v>
      </c>
      <c r="G539" s="1">
        <v>0.91</v>
      </c>
      <c r="H539" s="3">
        <v>2034354</v>
      </c>
      <c r="I539" s="2">
        <v>8.7988619483138137</v>
      </c>
    </row>
    <row r="540" spans="1:9" x14ac:dyDescent="0.3">
      <c r="A540" s="4" t="s">
        <v>43</v>
      </c>
      <c r="B540" s="3">
        <v>2013</v>
      </c>
      <c r="C540" s="4" t="s">
        <v>77</v>
      </c>
      <c r="D540" s="4" t="s">
        <v>5</v>
      </c>
      <c r="E540" s="3">
        <v>516</v>
      </c>
      <c r="F540" s="3">
        <f>Merge2[[#This Row],[Coverage]]*100</f>
        <v>90</v>
      </c>
      <c r="G540" s="1">
        <v>0.9</v>
      </c>
      <c r="H540" s="3">
        <v>2056504</v>
      </c>
      <c r="I540" s="2">
        <v>25.09112552175926</v>
      </c>
    </row>
    <row r="541" spans="1:9" x14ac:dyDescent="0.3">
      <c r="A541" s="4" t="s">
        <v>43</v>
      </c>
      <c r="B541" s="3">
        <v>2014</v>
      </c>
      <c r="C541" s="4" t="s">
        <v>77</v>
      </c>
      <c r="D541" s="4" t="s">
        <v>5</v>
      </c>
      <c r="E541" s="3">
        <v>0</v>
      </c>
      <c r="F541" s="3">
        <f>Merge2[[#This Row],[Coverage]]*100</f>
        <v>92</v>
      </c>
      <c r="G541" s="1">
        <v>0.92</v>
      </c>
      <c r="H541" s="3">
        <v>2080089</v>
      </c>
      <c r="I541" s="2">
        <v>0</v>
      </c>
    </row>
    <row r="542" spans="1:9" x14ac:dyDescent="0.3">
      <c r="A542" s="4" t="s">
        <v>43</v>
      </c>
      <c r="B542" s="3">
        <v>2015</v>
      </c>
      <c r="C542" s="4" t="s">
        <v>77</v>
      </c>
      <c r="D542" s="4" t="s">
        <v>5</v>
      </c>
      <c r="E542" s="3">
        <v>0</v>
      </c>
      <c r="F542" s="3">
        <f>Merge2[[#This Row],[Coverage]]*100</f>
        <v>93</v>
      </c>
      <c r="G542" s="1">
        <v>0.93</v>
      </c>
      <c r="H542" s="3">
        <v>2104611</v>
      </c>
      <c r="I542" s="2">
        <v>0</v>
      </c>
    </row>
    <row r="543" spans="1:9" x14ac:dyDescent="0.3">
      <c r="A543" s="4" t="s">
        <v>43</v>
      </c>
      <c r="B543" s="3">
        <v>2016</v>
      </c>
      <c r="C543" s="4" t="s">
        <v>77</v>
      </c>
      <c r="D543" s="4" t="s">
        <v>5</v>
      </c>
      <c r="E543" s="3">
        <v>0</v>
      </c>
      <c r="F543" s="3">
        <f>Merge2[[#This Row],[Coverage]]*100</f>
        <v>90</v>
      </c>
      <c r="G543" s="1">
        <v>0.9</v>
      </c>
      <c r="H543" s="3">
        <v>2130422</v>
      </c>
      <c r="I543" s="2">
        <v>0</v>
      </c>
    </row>
    <row r="544" spans="1:9" x14ac:dyDescent="0.3">
      <c r="A544" s="4" t="s">
        <v>43</v>
      </c>
      <c r="B544" s="3">
        <v>2017</v>
      </c>
      <c r="C544" s="4" t="s">
        <v>77</v>
      </c>
      <c r="D544" s="4" t="s">
        <v>5</v>
      </c>
      <c r="E544" s="3">
        <v>0</v>
      </c>
      <c r="F544" s="3">
        <f>Merge2[[#This Row],[Coverage]]*100</f>
        <v>89</v>
      </c>
      <c r="G544" s="1">
        <v>0.89</v>
      </c>
      <c r="H544" s="3">
        <v>2157110</v>
      </c>
      <c r="I544" s="2">
        <v>0</v>
      </c>
    </row>
    <row r="545" spans="1:9" x14ac:dyDescent="0.3">
      <c r="A545" s="4" t="s">
        <v>43</v>
      </c>
      <c r="B545" s="3">
        <v>2018</v>
      </c>
      <c r="C545" s="4" t="s">
        <v>77</v>
      </c>
      <c r="D545" s="4" t="s">
        <v>5</v>
      </c>
      <c r="E545" s="3">
        <v>7</v>
      </c>
      <c r="F545" s="3">
        <f>Merge2[[#This Row],[Coverage]]*100</f>
        <v>89</v>
      </c>
      <c r="G545" s="1">
        <v>0.89</v>
      </c>
      <c r="H545" s="3">
        <v>2183603</v>
      </c>
      <c r="I545" s="2">
        <v>0.32057109282227586</v>
      </c>
    </row>
    <row r="546" spans="1:9" x14ac:dyDescent="0.3">
      <c r="A546" s="4" t="s">
        <v>43</v>
      </c>
      <c r="B546" s="3">
        <v>2019</v>
      </c>
      <c r="C546" s="4" t="s">
        <v>77</v>
      </c>
      <c r="D546" s="4" t="s">
        <v>5</v>
      </c>
      <c r="E546" s="3">
        <v>464</v>
      </c>
      <c r="F546" s="3">
        <f>Merge2[[#This Row],[Coverage]]*100</f>
        <v>90</v>
      </c>
      <c r="G546" s="1">
        <v>0.9</v>
      </c>
      <c r="H546" s="3">
        <v>2209405</v>
      </c>
      <c r="I546" s="2">
        <v>21.001129263308449</v>
      </c>
    </row>
    <row r="547" spans="1:9" x14ac:dyDescent="0.3">
      <c r="A547" s="4" t="s">
        <v>43</v>
      </c>
      <c r="B547" s="3">
        <v>2020</v>
      </c>
      <c r="C547" s="4" t="s">
        <v>77</v>
      </c>
      <c r="D547" s="4" t="s">
        <v>5</v>
      </c>
      <c r="E547" s="3">
        <v>39</v>
      </c>
      <c r="F547" s="3">
        <f>Merge2[[#This Row],[Coverage]]*100</f>
        <v>90</v>
      </c>
      <c r="G547" s="1">
        <v>0.9</v>
      </c>
      <c r="H547" s="3">
        <v>2235727</v>
      </c>
      <c r="I547" s="2">
        <v>1.7443990254624111</v>
      </c>
    </row>
    <row r="548" spans="1:9" x14ac:dyDescent="0.3">
      <c r="A548" s="4" t="s">
        <v>43</v>
      </c>
      <c r="B548" s="3">
        <v>2021</v>
      </c>
      <c r="C548" s="4" t="s">
        <v>77</v>
      </c>
      <c r="D548" s="4" t="s">
        <v>5</v>
      </c>
      <c r="E548" s="3">
        <v>368</v>
      </c>
      <c r="F548" s="3">
        <f>Merge2[[#This Row],[Coverage]]*100</f>
        <v>90</v>
      </c>
      <c r="G548" s="1">
        <v>0.9</v>
      </c>
      <c r="H548" s="3">
        <v>2261542</v>
      </c>
      <c r="I548" s="2">
        <v>16.272083383815112</v>
      </c>
    </row>
    <row r="549" spans="1:9" x14ac:dyDescent="0.3">
      <c r="A549" s="4" t="s">
        <v>43</v>
      </c>
      <c r="B549" s="3">
        <v>2022</v>
      </c>
      <c r="C549" s="4" t="s">
        <v>77</v>
      </c>
      <c r="D549" s="4" t="s">
        <v>5</v>
      </c>
      <c r="E549" s="3">
        <v>3</v>
      </c>
      <c r="F549" s="3">
        <f>Merge2[[#This Row],[Coverage]]*100</f>
        <v>84</v>
      </c>
      <c r="G549" s="1">
        <v>0.84</v>
      </c>
      <c r="H549" s="3">
        <v>2286110</v>
      </c>
      <c r="I549" s="2">
        <v>0.13122728127692893</v>
      </c>
    </row>
    <row r="550" spans="1:9" x14ac:dyDescent="0.3">
      <c r="A550" s="4" t="s">
        <v>43</v>
      </c>
      <c r="B550" s="3">
        <v>2023</v>
      </c>
      <c r="C550" s="4" t="s">
        <v>77</v>
      </c>
      <c r="D550" s="4" t="s">
        <v>5</v>
      </c>
      <c r="E550" s="3">
        <v>17</v>
      </c>
      <c r="F550" s="3">
        <f>Merge2[[#This Row],[Coverage]]*100</f>
        <v>76</v>
      </c>
      <c r="G550" s="1">
        <v>0.76</v>
      </c>
      <c r="H550" s="3">
        <v>2311472</v>
      </c>
      <c r="I550" s="2">
        <v>0.73546207784476736</v>
      </c>
    </row>
    <row r="551" spans="1:9" x14ac:dyDescent="0.3">
      <c r="A551" s="4" t="s">
        <v>43</v>
      </c>
      <c r="B551" s="3">
        <v>2024</v>
      </c>
      <c r="C551" s="4" t="s">
        <v>77</v>
      </c>
      <c r="D551" s="4" t="s">
        <v>5</v>
      </c>
      <c r="E551" s="3">
        <v>2</v>
      </c>
      <c r="F551" s="3">
        <f>Merge2[[#This Row],[Coverage]]*100</f>
        <v>90</v>
      </c>
      <c r="G551" s="1">
        <v>0.9</v>
      </c>
      <c r="H551" s="3">
        <v>2337423</v>
      </c>
      <c r="I551" s="2">
        <v>8.5564315915433356E-2</v>
      </c>
    </row>
    <row r="552" spans="1:9" x14ac:dyDescent="0.3">
      <c r="A552" s="4" t="s">
        <v>45</v>
      </c>
      <c r="B552" s="3">
        <v>2000</v>
      </c>
      <c r="C552" s="4" t="s">
        <v>78</v>
      </c>
      <c r="D552" s="4" t="s">
        <v>5</v>
      </c>
      <c r="E552" s="3">
        <v>35256</v>
      </c>
      <c r="F552" s="3">
        <f>Merge2[[#This Row],[Coverage]]*100</f>
        <v>56.999999999999993</v>
      </c>
      <c r="G552" s="1">
        <v>0.56999999999999995</v>
      </c>
      <c r="H552" s="3">
        <v>16516338</v>
      </c>
      <c r="I552" s="2">
        <v>213.46136171347428</v>
      </c>
    </row>
    <row r="553" spans="1:9" x14ac:dyDescent="0.3">
      <c r="A553" s="4" t="s">
        <v>45</v>
      </c>
      <c r="B553" s="3">
        <v>2001</v>
      </c>
      <c r="C553" s="4" t="s">
        <v>78</v>
      </c>
      <c r="D553" s="4" t="s">
        <v>5</v>
      </c>
      <c r="E553" s="3">
        <v>9357</v>
      </c>
      <c r="F553" s="3">
        <f>Merge2[[#This Row],[Coverage]]*100</f>
        <v>59</v>
      </c>
      <c r="G553" s="1">
        <v>0.59</v>
      </c>
      <c r="H553" s="3">
        <v>17032939</v>
      </c>
      <c r="I553" s="2">
        <v>54.934735573232551</v>
      </c>
    </row>
    <row r="554" spans="1:9" x14ac:dyDescent="0.3">
      <c r="A554" s="4" t="s">
        <v>45</v>
      </c>
      <c r="B554" s="3">
        <v>2002</v>
      </c>
      <c r="C554" s="4" t="s">
        <v>78</v>
      </c>
      <c r="D554" s="4" t="s">
        <v>5</v>
      </c>
      <c r="E554" s="3">
        <v>10795</v>
      </c>
      <c r="F554" s="3">
        <f>Merge2[[#This Row],[Coverage]]*100</f>
        <v>61</v>
      </c>
      <c r="G554" s="1">
        <v>0.61</v>
      </c>
      <c r="H554" s="3">
        <v>17549913</v>
      </c>
      <c r="I554" s="2">
        <v>61.510276432709375</v>
      </c>
    </row>
    <row r="555" spans="1:9" x14ac:dyDescent="0.3">
      <c r="A555" s="4" t="s">
        <v>45</v>
      </c>
      <c r="B555" s="3">
        <v>2003</v>
      </c>
      <c r="C555" s="4" t="s">
        <v>78</v>
      </c>
      <c r="D555" s="4" t="s">
        <v>5</v>
      </c>
      <c r="E555" s="3">
        <v>62233</v>
      </c>
      <c r="F555" s="3">
        <f>Merge2[[#This Row],[Coverage]]*100</f>
        <v>65</v>
      </c>
      <c r="G555" s="1">
        <v>0.65</v>
      </c>
      <c r="H555" s="3">
        <v>18071854</v>
      </c>
      <c r="I555" s="2">
        <v>344.364225164723</v>
      </c>
    </row>
    <row r="556" spans="1:9" x14ac:dyDescent="0.3">
      <c r="A556" s="4" t="s">
        <v>45</v>
      </c>
      <c r="B556" s="3">
        <v>2004</v>
      </c>
      <c r="C556" s="4" t="s">
        <v>78</v>
      </c>
      <c r="D556" s="4" t="s">
        <v>5</v>
      </c>
      <c r="E556" s="3">
        <v>35558</v>
      </c>
      <c r="F556" s="3">
        <f>Merge2[[#This Row],[Coverage]]*100</f>
        <v>79</v>
      </c>
      <c r="G556" s="1">
        <v>0.79</v>
      </c>
      <c r="H556" s="3">
        <v>18606608</v>
      </c>
      <c r="I556" s="2">
        <v>191.10414966553819</v>
      </c>
    </row>
    <row r="557" spans="1:9" x14ac:dyDescent="0.3">
      <c r="A557" s="4" t="s">
        <v>45</v>
      </c>
      <c r="B557" s="3">
        <v>2005</v>
      </c>
      <c r="C557" s="4" t="s">
        <v>78</v>
      </c>
      <c r="D557" s="4" t="s">
        <v>5</v>
      </c>
      <c r="E557" s="3"/>
      <c r="F557" s="3">
        <f>Merge2[[#This Row],[Coverage]]*100</f>
        <v>74</v>
      </c>
      <c r="G557" s="1">
        <v>0.74</v>
      </c>
      <c r="H557" s="3">
        <v>19159707</v>
      </c>
    </row>
    <row r="558" spans="1:9" x14ac:dyDescent="0.3">
      <c r="A558" s="4" t="s">
        <v>45</v>
      </c>
      <c r="B558" s="3">
        <v>2006</v>
      </c>
      <c r="C558" s="4" t="s">
        <v>78</v>
      </c>
      <c r="D558" s="4" t="s">
        <v>5</v>
      </c>
      <c r="E558" s="3">
        <v>2</v>
      </c>
      <c r="F558" s="3">
        <f>Merge2[[#This Row],[Coverage]]*100</f>
        <v>71</v>
      </c>
      <c r="G558" s="1">
        <v>0.71</v>
      </c>
      <c r="H558" s="3">
        <v>19730909</v>
      </c>
      <c r="I558" s="2">
        <v>1.0136380437414211E-2</v>
      </c>
    </row>
    <row r="559" spans="1:9" x14ac:dyDescent="0.3">
      <c r="A559" s="4" t="s">
        <v>45</v>
      </c>
      <c r="B559" s="3">
        <v>2007</v>
      </c>
      <c r="C559" s="4" t="s">
        <v>78</v>
      </c>
      <c r="D559" s="4" t="s">
        <v>5</v>
      </c>
      <c r="E559" s="3">
        <v>0</v>
      </c>
      <c r="F559" s="3">
        <f>Merge2[[#This Row],[Coverage]]*100</f>
        <v>81</v>
      </c>
      <c r="G559" s="1">
        <v>0.81</v>
      </c>
      <c r="H559" s="3">
        <v>20318583</v>
      </c>
      <c r="I559" s="2">
        <v>0</v>
      </c>
    </row>
    <row r="560" spans="1:9" x14ac:dyDescent="0.3">
      <c r="A560" s="4" t="s">
        <v>45</v>
      </c>
      <c r="B560" s="3">
        <v>2008</v>
      </c>
      <c r="C560" s="4" t="s">
        <v>78</v>
      </c>
      <c r="D560" s="4" t="s">
        <v>5</v>
      </c>
      <c r="E560" s="3">
        <v>3</v>
      </c>
      <c r="F560" s="3">
        <f>Merge2[[#This Row],[Coverage]]*100</f>
        <v>70</v>
      </c>
      <c r="G560" s="1">
        <v>0.7</v>
      </c>
      <c r="H560" s="3">
        <v>20923840</v>
      </c>
      <c r="I560" s="2">
        <v>1.433771238931286E-2</v>
      </c>
    </row>
    <row r="561" spans="1:9" x14ac:dyDescent="0.3">
      <c r="A561" s="4" t="s">
        <v>45</v>
      </c>
      <c r="B561" s="3">
        <v>2009</v>
      </c>
      <c r="C561" s="4" t="s">
        <v>78</v>
      </c>
      <c r="D561" s="4" t="s">
        <v>5</v>
      </c>
      <c r="E561" s="3">
        <v>0</v>
      </c>
      <c r="F561" s="3">
        <f>Merge2[[#This Row],[Coverage]]*100</f>
        <v>63</v>
      </c>
      <c r="G561" s="1">
        <v>0.63</v>
      </c>
      <c r="H561" s="3">
        <v>21547280</v>
      </c>
      <c r="I561" s="2">
        <v>0</v>
      </c>
    </row>
    <row r="562" spans="1:9" x14ac:dyDescent="0.3">
      <c r="A562" s="4" t="s">
        <v>45</v>
      </c>
      <c r="B562" s="3">
        <v>2010</v>
      </c>
      <c r="C562" s="4" t="s">
        <v>78</v>
      </c>
      <c r="D562" s="4" t="s">
        <v>5</v>
      </c>
      <c r="E562" s="3">
        <v>1</v>
      </c>
      <c r="F562" s="3">
        <f>Merge2[[#This Row],[Coverage]]*100</f>
        <v>66</v>
      </c>
      <c r="G562" s="1">
        <v>0.66</v>
      </c>
      <c r="H562" s="3">
        <v>22183340</v>
      </c>
      <c r="I562" s="2">
        <v>4.5078874506724416E-3</v>
      </c>
    </row>
    <row r="563" spans="1:9" x14ac:dyDescent="0.3">
      <c r="A563" s="4" t="s">
        <v>45</v>
      </c>
      <c r="B563" s="3">
        <v>2011</v>
      </c>
      <c r="C563" s="4" t="s">
        <v>78</v>
      </c>
      <c r="D563" s="4" t="s">
        <v>5</v>
      </c>
      <c r="E563" s="3">
        <v>0</v>
      </c>
      <c r="F563" s="3">
        <f>Merge2[[#This Row],[Coverage]]*100</f>
        <v>62</v>
      </c>
      <c r="G563" s="1">
        <v>0.62</v>
      </c>
      <c r="H563" s="3">
        <v>22822300</v>
      </c>
      <c r="I563" s="2">
        <v>0</v>
      </c>
    </row>
    <row r="564" spans="1:9" x14ac:dyDescent="0.3">
      <c r="A564" s="4" t="s">
        <v>45</v>
      </c>
      <c r="B564" s="3">
        <v>2012</v>
      </c>
      <c r="C564" s="4" t="s">
        <v>78</v>
      </c>
      <c r="D564" s="4" t="s">
        <v>5</v>
      </c>
      <c r="E564" s="3">
        <v>2</v>
      </c>
      <c r="F564" s="3">
        <f>Merge2[[#This Row],[Coverage]]*100</f>
        <v>63</v>
      </c>
      <c r="G564" s="1">
        <v>0.63</v>
      </c>
      <c r="H564" s="3">
        <v>23462438</v>
      </c>
      <c r="I564" s="2">
        <v>8.5242633352936303E-3</v>
      </c>
    </row>
    <row r="565" spans="1:9" x14ac:dyDescent="0.3">
      <c r="A565" s="4" t="s">
        <v>45</v>
      </c>
      <c r="B565" s="3">
        <v>2013</v>
      </c>
      <c r="C565" s="4" t="s">
        <v>78</v>
      </c>
      <c r="D565" s="4" t="s">
        <v>5</v>
      </c>
      <c r="E565" s="3">
        <v>6</v>
      </c>
      <c r="F565" s="3">
        <f>Merge2[[#This Row],[Coverage]]*100</f>
        <v>64</v>
      </c>
      <c r="G565" s="1">
        <v>0.64</v>
      </c>
      <c r="H565" s="3">
        <v>24109290</v>
      </c>
      <c r="I565" s="2">
        <v>2.4886672315941282E-2</v>
      </c>
    </row>
    <row r="566" spans="1:9" x14ac:dyDescent="0.3">
      <c r="A566" s="4" t="s">
        <v>45</v>
      </c>
      <c r="B566" s="3">
        <v>2014</v>
      </c>
      <c r="C566" s="4" t="s">
        <v>78</v>
      </c>
      <c r="D566" s="4" t="s">
        <v>5</v>
      </c>
      <c r="E566" s="3">
        <v>3</v>
      </c>
      <c r="F566" s="3">
        <f>Merge2[[#This Row],[Coverage]]*100</f>
        <v>66</v>
      </c>
      <c r="G566" s="1">
        <v>0.66</v>
      </c>
      <c r="H566" s="3">
        <v>24764348</v>
      </c>
      <c r="I566" s="2">
        <v>1.2114189317643251E-2</v>
      </c>
    </row>
    <row r="567" spans="1:9" x14ac:dyDescent="0.3">
      <c r="A567" s="4" t="s">
        <v>45</v>
      </c>
      <c r="B567" s="3">
        <v>2015</v>
      </c>
      <c r="C567" s="4" t="s">
        <v>78</v>
      </c>
      <c r="D567" s="4" t="s">
        <v>5</v>
      </c>
      <c r="E567" s="3">
        <v>3</v>
      </c>
      <c r="F567" s="3">
        <f>Merge2[[#This Row],[Coverage]]*100</f>
        <v>60</v>
      </c>
      <c r="G567" s="1">
        <v>0.6</v>
      </c>
      <c r="H567" s="3">
        <v>25426702</v>
      </c>
      <c r="I567" s="2">
        <v>1.1798620206427086E-2</v>
      </c>
    </row>
    <row r="568" spans="1:9" x14ac:dyDescent="0.3">
      <c r="A568" s="4" t="s">
        <v>45</v>
      </c>
      <c r="B568" s="3">
        <v>2016</v>
      </c>
      <c r="C568" s="4" t="s">
        <v>78</v>
      </c>
      <c r="D568" s="4" t="s">
        <v>5</v>
      </c>
      <c r="E568" s="3">
        <v>5</v>
      </c>
      <c r="F568" s="3">
        <f>Merge2[[#This Row],[Coverage]]*100</f>
        <v>62</v>
      </c>
      <c r="G568" s="1">
        <v>0.62</v>
      </c>
      <c r="H568" s="3">
        <v>26099952</v>
      </c>
      <c r="I568" s="2">
        <v>1.915712335409659E-2</v>
      </c>
    </row>
    <row r="569" spans="1:9" x14ac:dyDescent="0.3">
      <c r="A569" s="4" t="s">
        <v>45</v>
      </c>
      <c r="B569" s="3">
        <v>2017</v>
      </c>
      <c r="C569" s="4" t="s">
        <v>78</v>
      </c>
      <c r="D569" s="4" t="s">
        <v>5</v>
      </c>
      <c r="E569" s="3">
        <v>11</v>
      </c>
      <c r="F569" s="3">
        <f>Merge2[[#This Row],[Coverage]]*100</f>
        <v>55.000000000000007</v>
      </c>
      <c r="G569" s="1">
        <v>0.55000000000000004</v>
      </c>
      <c r="H569" s="3">
        <v>26788375</v>
      </c>
      <c r="I569" s="2">
        <v>4.1062587782946892E-2</v>
      </c>
    </row>
    <row r="570" spans="1:9" x14ac:dyDescent="0.3">
      <c r="A570" s="4" t="s">
        <v>45</v>
      </c>
      <c r="B570" s="3">
        <v>2018</v>
      </c>
      <c r="C570" s="4" t="s">
        <v>78</v>
      </c>
      <c r="D570" s="4" t="s">
        <v>5</v>
      </c>
      <c r="E570" s="3">
        <v>21420</v>
      </c>
      <c r="F570" s="3">
        <f>Merge2[[#This Row],[Coverage]]*100</f>
        <v>68</v>
      </c>
      <c r="G570" s="1">
        <v>0.68</v>
      </c>
      <c r="H570" s="3">
        <v>27494926</v>
      </c>
      <c r="I570" s="2">
        <v>77.905283323912201</v>
      </c>
    </row>
    <row r="571" spans="1:9" x14ac:dyDescent="0.3">
      <c r="A571" s="4" t="s">
        <v>45</v>
      </c>
      <c r="B571" s="3">
        <v>2019</v>
      </c>
      <c r="C571" s="4" t="s">
        <v>78</v>
      </c>
      <c r="D571" s="4" t="s">
        <v>5</v>
      </c>
      <c r="E571" s="3">
        <v>213231</v>
      </c>
      <c r="F571" s="3">
        <f>Merge2[[#This Row],[Coverage]]*100</f>
        <v>60</v>
      </c>
      <c r="G571" s="1">
        <v>0.6</v>
      </c>
      <c r="H571" s="3">
        <v>28219554</v>
      </c>
      <c r="I571" s="2">
        <v>755.6143516655153</v>
      </c>
    </row>
    <row r="572" spans="1:9" x14ac:dyDescent="0.3">
      <c r="A572" s="4" t="s">
        <v>45</v>
      </c>
      <c r="B572" s="3">
        <v>2020</v>
      </c>
      <c r="C572" s="4" t="s">
        <v>78</v>
      </c>
      <c r="D572" s="4" t="s">
        <v>5</v>
      </c>
      <c r="E572" s="3">
        <v>777</v>
      </c>
      <c r="F572" s="3">
        <f>Merge2[[#This Row],[Coverage]]*100</f>
        <v>55.000000000000007</v>
      </c>
      <c r="G572" s="1">
        <v>0.55000000000000004</v>
      </c>
      <c r="H572" s="3">
        <v>28953556</v>
      </c>
      <c r="I572" s="2">
        <v>2.6836081896123574</v>
      </c>
    </row>
    <row r="573" spans="1:9" x14ac:dyDescent="0.3">
      <c r="A573" s="4" t="s">
        <v>45</v>
      </c>
      <c r="B573" s="3">
        <v>2021</v>
      </c>
      <c r="C573" s="4" t="s">
        <v>78</v>
      </c>
      <c r="D573" s="4" t="s">
        <v>5</v>
      </c>
      <c r="E573" s="3">
        <v>44</v>
      </c>
      <c r="F573" s="3">
        <f>Merge2[[#This Row],[Coverage]]*100</f>
        <v>43</v>
      </c>
      <c r="G573" s="1">
        <v>0.43</v>
      </c>
      <c r="H573" s="3">
        <v>29691083</v>
      </c>
      <c r="I573" s="2">
        <v>0.14819264086796699</v>
      </c>
    </row>
    <row r="574" spans="1:9" x14ac:dyDescent="0.3">
      <c r="A574" s="4" t="s">
        <v>45</v>
      </c>
      <c r="B574" s="3">
        <v>2022</v>
      </c>
      <c r="C574" s="4" t="s">
        <v>78</v>
      </c>
      <c r="D574" s="4" t="s">
        <v>5</v>
      </c>
      <c r="E574" s="3">
        <v>80</v>
      </c>
      <c r="F574" s="3">
        <f>Merge2[[#This Row],[Coverage]]*100</f>
        <v>44</v>
      </c>
      <c r="G574" s="1">
        <v>0.44</v>
      </c>
      <c r="H574" s="3">
        <v>30437261</v>
      </c>
      <c r="I574" s="2">
        <v>0.26283573939192495</v>
      </c>
    </row>
    <row r="575" spans="1:9" x14ac:dyDescent="0.3">
      <c r="A575" s="4" t="s">
        <v>45</v>
      </c>
      <c r="B575" s="3">
        <v>2023</v>
      </c>
      <c r="C575" s="4" t="s">
        <v>78</v>
      </c>
      <c r="D575" s="4" t="s">
        <v>5</v>
      </c>
      <c r="E575" s="3">
        <v>355</v>
      </c>
      <c r="F575" s="3">
        <f>Merge2[[#This Row],[Coverage]]*100</f>
        <v>51</v>
      </c>
      <c r="G575" s="1">
        <v>0.51</v>
      </c>
      <c r="H575" s="3">
        <v>31195932</v>
      </c>
      <c r="I575" s="2">
        <v>1.1379688864560931</v>
      </c>
    </row>
    <row r="576" spans="1:9" x14ac:dyDescent="0.3">
      <c r="A576" s="4" t="s">
        <v>45</v>
      </c>
      <c r="B576" s="3">
        <v>2024</v>
      </c>
      <c r="C576" s="4" t="s">
        <v>78</v>
      </c>
      <c r="D576" s="4" t="s">
        <v>5</v>
      </c>
      <c r="E576" s="3">
        <v>104</v>
      </c>
      <c r="F576" s="3">
        <f>Merge2[[#This Row],[Coverage]]*100</f>
        <v>46</v>
      </c>
      <c r="G576" s="1">
        <v>0.46</v>
      </c>
      <c r="H576" s="3">
        <v>31964956</v>
      </c>
      <c r="I576" s="2">
        <v>0.32535630582441594</v>
      </c>
    </row>
    <row r="577" spans="1:9" x14ac:dyDescent="0.3">
      <c r="A577" s="4" t="s">
        <v>47</v>
      </c>
      <c r="B577" s="3">
        <v>2000</v>
      </c>
      <c r="C577" s="4" t="s">
        <v>79</v>
      </c>
      <c r="D577" s="4" t="s">
        <v>5</v>
      </c>
      <c r="E577" s="3">
        <v>1578</v>
      </c>
      <c r="F577" s="3">
        <f>Merge2[[#This Row],[Coverage]]*100</f>
        <v>49</v>
      </c>
      <c r="G577" s="1">
        <v>0.49</v>
      </c>
      <c r="H577" s="3">
        <v>11559290</v>
      </c>
      <c r="I577" s="2">
        <v>13.651357479568381</v>
      </c>
    </row>
    <row r="578" spans="1:9" x14ac:dyDescent="0.3">
      <c r="A578" s="4" t="s">
        <v>47</v>
      </c>
      <c r="B578" s="3">
        <v>2001</v>
      </c>
      <c r="C578" s="4" t="s">
        <v>79</v>
      </c>
      <c r="D578" s="4" t="s">
        <v>5</v>
      </c>
      <c r="E578" s="3">
        <v>4464</v>
      </c>
      <c r="F578" s="3">
        <f>Merge2[[#This Row],[Coverage]]*100</f>
        <v>54</v>
      </c>
      <c r="G578" s="1">
        <v>0.54</v>
      </c>
      <c r="H578" s="3">
        <v>11912158</v>
      </c>
      <c r="I578" s="2">
        <v>37.474318255348862</v>
      </c>
    </row>
    <row r="579" spans="1:9" x14ac:dyDescent="0.3">
      <c r="A579" s="4" t="s">
        <v>47</v>
      </c>
      <c r="B579" s="3">
        <v>2002</v>
      </c>
      <c r="C579" s="4" t="s">
        <v>79</v>
      </c>
      <c r="D579" s="4" t="s">
        <v>5</v>
      </c>
      <c r="E579" s="3">
        <v>717</v>
      </c>
      <c r="F579" s="3">
        <f>Merge2[[#This Row],[Coverage]]*100</f>
        <v>56.000000000000007</v>
      </c>
      <c r="G579" s="1">
        <v>0.56000000000000005</v>
      </c>
      <c r="H579" s="3">
        <v>12288050</v>
      </c>
      <c r="I579" s="2">
        <v>5.8349371950797728</v>
      </c>
    </row>
    <row r="580" spans="1:9" x14ac:dyDescent="0.3">
      <c r="A580" s="4" t="s">
        <v>47</v>
      </c>
      <c r="B580" s="3">
        <v>2003</v>
      </c>
      <c r="C580" s="4" t="s">
        <v>79</v>
      </c>
      <c r="D580" s="4" t="s">
        <v>5</v>
      </c>
      <c r="E580" s="3">
        <v>232</v>
      </c>
      <c r="F580" s="3">
        <f>Merge2[[#This Row],[Coverage]]*100</f>
        <v>56.999999999999993</v>
      </c>
      <c r="G580" s="1">
        <v>0.56999999999999995</v>
      </c>
      <c r="H580" s="3">
        <v>12684955</v>
      </c>
      <c r="I580" s="2">
        <v>1.8289382973766954</v>
      </c>
    </row>
    <row r="581" spans="1:9" x14ac:dyDescent="0.3">
      <c r="A581" s="4" t="s">
        <v>47</v>
      </c>
      <c r="B581" s="3">
        <v>2004</v>
      </c>
      <c r="C581" s="4" t="s">
        <v>79</v>
      </c>
      <c r="D581" s="4" t="s">
        <v>5</v>
      </c>
      <c r="E581" s="3">
        <v>172</v>
      </c>
      <c r="F581" s="3">
        <f>Merge2[[#This Row],[Coverage]]*100</f>
        <v>63</v>
      </c>
      <c r="G581" s="1">
        <v>0.63</v>
      </c>
      <c r="H581" s="3">
        <v>13102409</v>
      </c>
      <c r="I581" s="2">
        <v>1.312735696160912</v>
      </c>
    </row>
    <row r="582" spans="1:9" x14ac:dyDescent="0.3">
      <c r="A582" s="4" t="s">
        <v>47</v>
      </c>
      <c r="B582" s="3">
        <v>2005</v>
      </c>
      <c r="C582" s="4" t="s">
        <v>79</v>
      </c>
      <c r="D582" s="4" t="s">
        <v>5</v>
      </c>
      <c r="E582" s="3">
        <v>33</v>
      </c>
      <c r="F582" s="3">
        <f>Merge2[[#This Row],[Coverage]]*100</f>
        <v>73</v>
      </c>
      <c r="G582" s="1">
        <v>0.73</v>
      </c>
      <c r="H582" s="3">
        <v>13538647</v>
      </c>
      <c r="I582" s="2">
        <v>0.24374666094772987</v>
      </c>
    </row>
    <row r="583" spans="1:9" x14ac:dyDescent="0.3">
      <c r="A583" s="4" t="s">
        <v>47</v>
      </c>
      <c r="B583" s="3">
        <v>2006</v>
      </c>
      <c r="C583" s="4" t="s">
        <v>79</v>
      </c>
      <c r="D583" s="4" t="s">
        <v>5</v>
      </c>
      <c r="E583" s="3">
        <v>128</v>
      </c>
      <c r="F583" s="3">
        <f>Merge2[[#This Row],[Coverage]]*100</f>
        <v>68</v>
      </c>
      <c r="G583" s="1">
        <v>0.68</v>
      </c>
      <c r="H583" s="3">
        <v>13990139</v>
      </c>
      <c r="I583" s="2">
        <v>0.91493015187340176</v>
      </c>
    </row>
    <row r="584" spans="1:9" x14ac:dyDescent="0.3">
      <c r="A584" s="4" t="s">
        <v>47</v>
      </c>
      <c r="B584" s="3">
        <v>2007</v>
      </c>
      <c r="C584" s="4" t="s">
        <v>79</v>
      </c>
      <c r="D584" s="4" t="s">
        <v>5</v>
      </c>
      <c r="E584" s="3">
        <v>2</v>
      </c>
      <c r="F584" s="3">
        <f>Merge2[[#This Row],[Coverage]]*100</f>
        <v>66</v>
      </c>
      <c r="G584" s="1">
        <v>0.66</v>
      </c>
      <c r="H584" s="3">
        <v>14457775</v>
      </c>
      <c r="I584" s="2">
        <v>1.3833387225904402E-2</v>
      </c>
    </row>
    <row r="585" spans="1:9" x14ac:dyDescent="0.3">
      <c r="A585" s="4" t="s">
        <v>47</v>
      </c>
      <c r="B585" s="3">
        <v>2008</v>
      </c>
      <c r="C585" s="4" t="s">
        <v>79</v>
      </c>
      <c r="D585" s="4" t="s">
        <v>5</v>
      </c>
      <c r="E585" s="3">
        <v>98</v>
      </c>
      <c r="F585" s="3">
        <f>Merge2[[#This Row],[Coverage]]*100</f>
        <v>71</v>
      </c>
      <c r="G585" s="1">
        <v>0.71</v>
      </c>
      <c r="H585" s="3">
        <v>14940782</v>
      </c>
      <c r="I585" s="2">
        <v>0.655922829206664</v>
      </c>
    </row>
    <row r="586" spans="1:9" x14ac:dyDescent="0.3">
      <c r="A586" s="4" t="s">
        <v>47</v>
      </c>
      <c r="B586" s="3">
        <v>2009</v>
      </c>
      <c r="C586" s="4" t="s">
        <v>79</v>
      </c>
      <c r="D586" s="4" t="s">
        <v>5</v>
      </c>
      <c r="E586" s="3">
        <v>2939</v>
      </c>
      <c r="F586" s="3">
        <f>Merge2[[#This Row],[Coverage]]*100</f>
        <v>73</v>
      </c>
      <c r="G586" s="1">
        <v>0.73</v>
      </c>
      <c r="H586" s="3">
        <v>15435539</v>
      </c>
      <c r="I586" s="2">
        <v>19.040475360141293</v>
      </c>
    </row>
    <row r="587" spans="1:9" x14ac:dyDescent="0.3">
      <c r="A587" s="4" t="s">
        <v>47</v>
      </c>
      <c r="B587" s="3">
        <v>2010</v>
      </c>
      <c r="C587" s="4" t="s">
        <v>79</v>
      </c>
      <c r="D587" s="4" t="s">
        <v>5</v>
      </c>
      <c r="E587" s="3">
        <v>1719</v>
      </c>
      <c r="F587" s="3">
        <f>Merge2[[#This Row],[Coverage]]*100</f>
        <v>78</v>
      </c>
      <c r="G587" s="1">
        <v>0.78</v>
      </c>
      <c r="H587" s="3">
        <v>15945198</v>
      </c>
      <c r="I587" s="2">
        <v>10.780675160007419</v>
      </c>
    </row>
    <row r="588" spans="1:9" x14ac:dyDescent="0.3">
      <c r="A588" s="4" t="s">
        <v>47</v>
      </c>
      <c r="B588" s="3">
        <v>2011</v>
      </c>
      <c r="C588" s="4" t="s">
        <v>79</v>
      </c>
      <c r="D588" s="4" t="s">
        <v>5</v>
      </c>
      <c r="E588" s="3">
        <v>24</v>
      </c>
      <c r="F588" s="3">
        <f>Merge2[[#This Row],[Coverage]]*100</f>
        <v>72</v>
      </c>
      <c r="G588" s="1">
        <v>0.72</v>
      </c>
      <c r="H588" s="3">
        <v>16469049</v>
      </c>
      <c r="I588" s="2">
        <v>0.14572790450741874</v>
      </c>
    </row>
    <row r="589" spans="1:9" x14ac:dyDescent="0.3">
      <c r="A589" s="4" t="s">
        <v>47</v>
      </c>
      <c r="B589" s="3">
        <v>2012</v>
      </c>
      <c r="C589" s="4" t="s">
        <v>79</v>
      </c>
      <c r="D589" s="4" t="s">
        <v>5</v>
      </c>
      <c r="E589" s="3">
        <v>341</v>
      </c>
      <c r="F589" s="3">
        <f>Merge2[[#This Row],[Coverage]]*100</f>
        <v>67</v>
      </c>
      <c r="G589" s="1">
        <v>0.67</v>
      </c>
      <c r="H589" s="3">
        <v>16957033</v>
      </c>
      <c r="I589" s="2">
        <v>2.0109650078524939</v>
      </c>
    </row>
    <row r="590" spans="1:9" x14ac:dyDescent="0.3">
      <c r="A590" s="4" t="s">
        <v>47</v>
      </c>
      <c r="B590" s="3">
        <v>2013</v>
      </c>
      <c r="C590" s="4" t="s">
        <v>79</v>
      </c>
      <c r="D590" s="4" t="s">
        <v>5</v>
      </c>
      <c r="E590" s="3">
        <v>221</v>
      </c>
      <c r="F590" s="3">
        <f>Merge2[[#This Row],[Coverage]]*100</f>
        <v>62</v>
      </c>
      <c r="G590" s="1">
        <v>0.62</v>
      </c>
      <c r="H590" s="3">
        <v>17459615</v>
      </c>
      <c r="I590" s="2">
        <v>1.2657781972855644</v>
      </c>
    </row>
    <row r="591" spans="1:9" x14ac:dyDescent="0.3">
      <c r="A591" s="4" t="s">
        <v>47</v>
      </c>
      <c r="B591" s="3">
        <v>2014</v>
      </c>
      <c r="C591" s="4" t="s">
        <v>79</v>
      </c>
      <c r="D591" s="4" t="s">
        <v>5</v>
      </c>
      <c r="E591" s="3">
        <v>290</v>
      </c>
      <c r="F591" s="3">
        <f>Merge2[[#This Row],[Coverage]]*100</f>
        <v>65</v>
      </c>
      <c r="G591" s="1">
        <v>0.65</v>
      </c>
      <c r="H591" s="3">
        <v>18020267</v>
      </c>
      <c r="I591" s="2">
        <v>1.60929912969658</v>
      </c>
    </row>
    <row r="592" spans="1:9" x14ac:dyDescent="0.3">
      <c r="A592" s="4" t="s">
        <v>47</v>
      </c>
      <c r="B592" s="3">
        <v>2015</v>
      </c>
      <c r="C592" s="4" t="s">
        <v>79</v>
      </c>
      <c r="D592" s="4" t="s">
        <v>5</v>
      </c>
      <c r="E592" s="3">
        <v>215</v>
      </c>
      <c r="F592" s="3">
        <f>Merge2[[#This Row],[Coverage]]*100</f>
        <v>67</v>
      </c>
      <c r="G592" s="1">
        <v>0.67</v>
      </c>
      <c r="H592" s="3">
        <v>18593022</v>
      </c>
      <c r="I592" s="2">
        <v>1.1563477954256172</v>
      </c>
    </row>
    <row r="593" spans="1:9" x14ac:dyDescent="0.3">
      <c r="A593" s="4" t="s">
        <v>47</v>
      </c>
      <c r="B593" s="3">
        <v>2016</v>
      </c>
      <c r="C593" s="4" t="s">
        <v>79</v>
      </c>
      <c r="D593" s="4" t="s">
        <v>5</v>
      </c>
      <c r="E593" s="3">
        <v>107</v>
      </c>
      <c r="F593" s="3">
        <f>Merge2[[#This Row],[Coverage]]*100</f>
        <v>70</v>
      </c>
      <c r="G593" s="1">
        <v>0.7</v>
      </c>
      <c r="H593" s="3">
        <v>19191289</v>
      </c>
      <c r="I593" s="2">
        <v>0.5575446235007977</v>
      </c>
    </row>
    <row r="594" spans="1:9" x14ac:dyDescent="0.3">
      <c r="A594" s="4" t="s">
        <v>47</v>
      </c>
      <c r="B594" s="3">
        <v>2017</v>
      </c>
      <c r="C594" s="4" t="s">
        <v>79</v>
      </c>
      <c r="D594" s="4" t="s">
        <v>5</v>
      </c>
      <c r="E594" s="3">
        <v>26</v>
      </c>
      <c r="F594" s="3">
        <f>Merge2[[#This Row],[Coverage]]*100</f>
        <v>70</v>
      </c>
      <c r="G594" s="1">
        <v>0.7</v>
      </c>
      <c r="H594" s="3">
        <v>19813011</v>
      </c>
      <c r="I594" s="2">
        <v>0.13122689933397808</v>
      </c>
    </row>
    <row r="595" spans="1:9" x14ac:dyDescent="0.3">
      <c r="A595" s="4" t="s">
        <v>47</v>
      </c>
      <c r="B595" s="3">
        <v>2018</v>
      </c>
      <c r="C595" s="4" t="s">
        <v>79</v>
      </c>
      <c r="D595" s="4" t="s">
        <v>5</v>
      </c>
      <c r="E595" s="3">
        <v>499</v>
      </c>
      <c r="F595" s="3">
        <f>Merge2[[#This Row],[Coverage]]*100</f>
        <v>71</v>
      </c>
      <c r="G595" s="1">
        <v>0.71</v>
      </c>
      <c r="H595" s="3">
        <v>20442030</v>
      </c>
      <c r="I595" s="2">
        <v>2.4410491521634592</v>
      </c>
    </row>
    <row r="596" spans="1:9" x14ac:dyDescent="0.3">
      <c r="A596" s="4" t="s">
        <v>47</v>
      </c>
      <c r="B596" s="3">
        <v>2019</v>
      </c>
      <c r="C596" s="4" t="s">
        <v>79</v>
      </c>
      <c r="D596" s="4" t="s">
        <v>5</v>
      </c>
      <c r="E596" s="3">
        <v>454</v>
      </c>
      <c r="F596" s="3">
        <f>Merge2[[#This Row],[Coverage]]*100</f>
        <v>71</v>
      </c>
      <c r="G596" s="1">
        <v>0.71</v>
      </c>
      <c r="H596" s="3">
        <v>21068405</v>
      </c>
      <c r="I596" s="2">
        <v>2.1548854789909342</v>
      </c>
    </row>
    <row r="597" spans="1:9" x14ac:dyDescent="0.3">
      <c r="A597" s="4" t="s">
        <v>47</v>
      </c>
      <c r="B597" s="3">
        <v>2020</v>
      </c>
      <c r="C597" s="4" t="s">
        <v>79</v>
      </c>
      <c r="D597" s="4" t="s">
        <v>5</v>
      </c>
      <c r="E597" s="3">
        <v>498</v>
      </c>
      <c r="F597" s="3">
        <f>Merge2[[#This Row],[Coverage]]*100</f>
        <v>62</v>
      </c>
      <c r="G597" s="1">
        <v>0.62</v>
      </c>
      <c r="H597" s="3">
        <v>21713836</v>
      </c>
      <c r="I597" s="2">
        <v>2.2934685515723707</v>
      </c>
    </row>
    <row r="598" spans="1:9" x14ac:dyDescent="0.3">
      <c r="A598" s="4" t="s">
        <v>47</v>
      </c>
      <c r="B598" s="3">
        <v>2021</v>
      </c>
      <c r="C598" s="4" t="s">
        <v>79</v>
      </c>
      <c r="D598" s="4" t="s">
        <v>5</v>
      </c>
      <c r="E598" s="3">
        <v>2074</v>
      </c>
      <c r="F598" s="3">
        <f>Merge2[[#This Row],[Coverage]]*100</f>
        <v>72</v>
      </c>
      <c r="G598" s="1">
        <v>0.72</v>
      </c>
      <c r="H598" s="3">
        <v>22388630</v>
      </c>
      <c r="I598" s="2">
        <v>9.2636306911141961</v>
      </c>
    </row>
    <row r="599" spans="1:9" x14ac:dyDescent="0.3">
      <c r="A599" s="4" t="s">
        <v>47</v>
      </c>
      <c r="B599" s="3">
        <v>2022</v>
      </c>
      <c r="C599" s="4" t="s">
        <v>79</v>
      </c>
      <c r="D599" s="4" t="s">
        <v>5</v>
      </c>
      <c r="E599" s="3">
        <v>765</v>
      </c>
      <c r="F599" s="3">
        <f>Merge2[[#This Row],[Coverage]]*100</f>
        <v>69</v>
      </c>
      <c r="G599" s="1">
        <v>0.69</v>
      </c>
      <c r="H599" s="3">
        <v>23072640</v>
      </c>
      <c r="I599" s="2">
        <v>3.3156153782141966</v>
      </c>
    </row>
    <row r="600" spans="1:9" x14ac:dyDescent="0.3">
      <c r="A600" s="4" t="s">
        <v>47</v>
      </c>
      <c r="B600" s="3">
        <v>2023</v>
      </c>
      <c r="C600" s="4" t="s">
        <v>79</v>
      </c>
      <c r="D600" s="4" t="s">
        <v>5</v>
      </c>
      <c r="E600" s="3">
        <v>364</v>
      </c>
      <c r="F600" s="3">
        <f>Merge2[[#This Row],[Coverage]]*100</f>
        <v>68</v>
      </c>
      <c r="G600" s="1">
        <v>0.68</v>
      </c>
      <c r="H600" s="3">
        <v>23769127</v>
      </c>
      <c r="I600" s="2">
        <v>1.5313982713795085</v>
      </c>
    </row>
    <row r="601" spans="1:9" x14ac:dyDescent="0.3">
      <c r="A601" s="4" t="s">
        <v>47</v>
      </c>
      <c r="B601" s="3">
        <v>2024</v>
      </c>
      <c r="C601" s="4" t="s">
        <v>79</v>
      </c>
      <c r="D601" s="4" t="s">
        <v>5</v>
      </c>
      <c r="E601" s="3">
        <v>368</v>
      </c>
      <c r="F601" s="3">
        <f>Merge2[[#This Row],[Coverage]]*100</f>
        <v>72</v>
      </c>
      <c r="G601" s="1">
        <v>0.72</v>
      </c>
      <c r="H601" s="3">
        <v>24478595</v>
      </c>
      <c r="I601" s="2">
        <v>1.5033542570560114</v>
      </c>
    </row>
    <row r="602" spans="1:9" x14ac:dyDescent="0.3">
      <c r="A602" s="4" t="s">
        <v>50</v>
      </c>
      <c r="B602" s="3">
        <v>2000</v>
      </c>
      <c r="C602" s="4" t="s">
        <v>80</v>
      </c>
      <c r="D602" s="4" t="s">
        <v>5</v>
      </c>
      <c r="E602" s="3">
        <v>7375</v>
      </c>
      <c r="F602" s="3">
        <f>Merge2[[#This Row],[Coverage]]*100</f>
        <v>71</v>
      </c>
      <c r="G602" s="1">
        <v>0.71</v>
      </c>
      <c r="H602" s="3">
        <v>18129653</v>
      </c>
      <c r="I602" s="2">
        <v>40.67921211729756</v>
      </c>
    </row>
    <row r="603" spans="1:9" x14ac:dyDescent="0.3">
      <c r="A603" s="4" t="s">
        <v>50</v>
      </c>
      <c r="B603" s="3">
        <v>2001</v>
      </c>
      <c r="C603" s="4" t="s">
        <v>80</v>
      </c>
      <c r="D603" s="4" t="s">
        <v>5</v>
      </c>
      <c r="E603" s="3">
        <v>7085</v>
      </c>
      <c r="F603" s="3">
        <f>Merge2[[#This Row],[Coverage]]*100</f>
        <v>74</v>
      </c>
      <c r="G603" s="1">
        <v>0.74</v>
      </c>
      <c r="H603" s="3">
        <v>18537729</v>
      </c>
      <c r="I603" s="2">
        <v>38.219352543129745</v>
      </c>
    </row>
    <row r="604" spans="1:9" x14ac:dyDescent="0.3">
      <c r="A604" s="4" t="s">
        <v>50</v>
      </c>
      <c r="B604" s="3">
        <v>2002</v>
      </c>
      <c r="C604" s="4" t="s">
        <v>80</v>
      </c>
      <c r="D604" s="4" t="s">
        <v>5</v>
      </c>
      <c r="E604" s="3">
        <v>7155</v>
      </c>
      <c r="F604" s="3">
        <f>Merge2[[#This Row],[Coverage]]*100</f>
        <v>77</v>
      </c>
      <c r="G604" s="1">
        <v>0.77</v>
      </c>
      <c r="H604" s="3">
        <v>18958338</v>
      </c>
      <c r="I604" s="2">
        <v>37.740650050653173</v>
      </c>
    </row>
    <row r="605" spans="1:9" x14ac:dyDescent="0.3">
      <c r="A605" s="4" t="s">
        <v>50</v>
      </c>
      <c r="B605" s="3">
        <v>2003</v>
      </c>
      <c r="C605" s="4" t="s">
        <v>80</v>
      </c>
      <c r="D605" s="4" t="s">
        <v>5</v>
      </c>
      <c r="E605" s="3">
        <v>28898</v>
      </c>
      <c r="F605" s="3">
        <f>Merge2[[#This Row],[Coverage]]*100</f>
        <v>80</v>
      </c>
      <c r="G605" s="1">
        <v>0.8</v>
      </c>
      <c r="H605" s="3">
        <v>19392475</v>
      </c>
      <c r="I605" s="2">
        <v>149.01656441480523</v>
      </c>
    </row>
    <row r="606" spans="1:9" x14ac:dyDescent="0.3">
      <c r="A606" s="4" t="s">
        <v>50</v>
      </c>
      <c r="B606" s="3">
        <v>2004</v>
      </c>
      <c r="C606" s="4" t="s">
        <v>80</v>
      </c>
      <c r="D606" s="4" t="s">
        <v>5</v>
      </c>
      <c r="E606" s="3">
        <v>9396</v>
      </c>
      <c r="F606" s="3">
        <f>Merge2[[#This Row],[Coverage]]*100</f>
        <v>79</v>
      </c>
      <c r="G606" s="1">
        <v>0.79</v>
      </c>
      <c r="H606" s="3">
        <v>19840313</v>
      </c>
      <c r="I606" s="2">
        <v>47.358123836050368</v>
      </c>
    </row>
    <row r="607" spans="1:9" x14ac:dyDescent="0.3">
      <c r="A607" s="4" t="s">
        <v>50</v>
      </c>
      <c r="B607" s="3">
        <v>2005</v>
      </c>
      <c r="C607" s="4" t="s">
        <v>80</v>
      </c>
      <c r="D607" s="4" t="s">
        <v>5</v>
      </c>
      <c r="E607" s="3">
        <v>12598</v>
      </c>
      <c r="F607" s="3">
        <f>Merge2[[#This Row],[Coverage]]*100</f>
        <v>78</v>
      </c>
      <c r="G607" s="1">
        <v>0.78</v>
      </c>
      <c r="H607" s="3">
        <v>20304569</v>
      </c>
      <c r="I607" s="2">
        <v>62.045148557450297</v>
      </c>
    </row>
    <row r="608" spans="1:9" x14ac:dyDescent="0.3">
      <c r="A608" s="4" t="s">
        <v>50</v>
      </c>
      <c r="B608" s="3">
        <v>2006</v>
      </c>
      <c r="C608" s="4" t="s">
        <v>80</v>
      </c>
      <c r="D608" s="4" t="s">
        <v>5</v>
      </c>
      <c r="E608" s="3">
        <v>183</v>
      </c>
      <c r="F608" s="3">
        <f>Merge2[[#This Row],[Coverage]]*100</f>
        <v>76</v>
      </c>
      <c r="G608" s="1">
        <v>0.76</v>
      </c>
      <c r="H608" s="3">
        <v>20787087</v>
      </c>
      <c r="I608" s="2">
        <v>0.88035423145147762</v>
      </c>
    </row>
    <row r="609" spans="1:9" x14ac:dyDescent="0.3">
      <c r="A609" s="4" t="s">
        <v>50</v>
      </c>
      <c r="B609" s="3">
        <v>2007</v>
      </c>
      <c r="C609" s="4" t="s">
        <v>80</v>
      </c>
      <c r="D609" s="4" t="s">
        <v>5</v>
      </c>
      <c r="E609" s="3">
        <v>267</v>
      </c>
      <c r="F609" s="3">
        <f>Merge2[[#This Row],[Coverage]]*100</f>
        <v>75</v>
      </c>
      <c r="G609" s="1">
        <v>0.75</v>
      </c>
      <c r="H609" s="3">
        <v>21287635</v>
      </c>
      <c r="I609" s="2">
        <v>1.2542492390535631</v>
      </c>
    </row>
    <row r="610" spans="1:9" x14ac:dyDescent="0.3">
      <c r="A610" s="4" t="s">
        <v>50</v>
      </c>
      <c r="B610" s="3">
        <v>2008</v>
      </c>
      <c r="C610" s="4" t="s">
        <v>80</v>
      </c>
      <c r="D610" s="4" t="s">
        <v>5</v>
      </c>
      <c r="E610" s="3">
        <v>4</v>
      </c>
      <c r="F610" s="3">
        <f>Merge2[[#This Row],[Coverage]]*100</f>
        <v>77</v>
      </c>
      <c r="G610" s="1">
        <v>0.77</v>
      </c>
      <c r="H610" s="3">
        <v>21819036</v>
      </c>
      <c r="I610" s="2">
        <v>1.8332615611432148E-2</v>
      </c>
    </row>
    <row r="611" spans="1:9" x14ac:dyDescent="0.3">
      <c r="A611" s="4" t="s">
        <v>50</v>
      </c>
      <c r="B611" s="3">
        <v>2009</v>
      </c>
      <c r="C611" s="4" t="s">
        <v>80</v>
      </c>
      <c r="D611" s="4" t="s">
        <v>5</v>
      </c>
      <c r="E611" s="3">
        <v>60</v>
      </c>
      <c r="F611" s="3">
        <f>Merge2[[#This Row],[Coverage]]*100</f>
        <v>80</v>
      </c>
      <c r="G611" s="1">
        <v>0.8</v>
      </c>
      <c r="H611" s="3">
        <v>22391745</v>
      </c>
      <c r="I611" s="2">
        <v>0.26795589178065399</v>
      </c>
    </row>
    <row r="612" spans="1:9" x14ac:dyDescent="0.3">
      <c r="A612" s="4" t="s">
        <v>50</v>
      </c>
      <c r="B612" s="3">
        <v>2010</v>
      </c>
      <c r="C612" s="4" t="s">
        <v>80</v>
      </c>
      <c r="D612" s="4" t="s">
        <v>5</v>
      </c>
      <c r="E612" s="3">
        <v>2321</v>
      </c>
      <c r="F612" s="3">
        <f>Merge2[[#This Row],[Coverage]]*100</f>
        <v>82</v>
      </c>
      <c r="G612" s="1">
        <v>0.82</v>
      </c>
      <c r="H612" s="3">
        <v>22999235</v>
      </c>
      <c r="I612" s="2">
        <v>10.091640004547976</v>
      </c>
    </row>
    <row r="613" spans="1:9" x14ac:dyDescent="0.3">
      <c r="A613" s="4" t="s">
        <v>50</v>
      </c>
      <c r="B613" s="3">
        <v>2011</v>
      </c>
      <c r="C613" s="4" t="s">
        <v>80</v>
      </c>
      <c r="D613" s="4" t="s">
        <v>5</v>
      </c>
      <c r="E613" s="3">
        <v>177</v>
      </c>
      <c r="F613" s="3">
        <f>Merge2[[#This Row],[Coverage]]*100</f>
        <v>82</v>
      </c>
      <c r="G613" s="1">
        <v>0.82</v>
      </c>
      <c r="H613" s="3">
        <v>23649039</v>
      </c>
      <c r="I613" s="2">
        <v>0.74844478881361731</v>
      </c>
    </row>
    <row r="614" spans="1:9" x14ac:dyDescent="0.3">
      <c r="A614" s="4" t="s">
        <v>50</v>
      </c>
      <c r="B614" s="3">
        <v>2012</v>
      </c>
      <c r="C614" s="4" t="s">
        <v>80</v>
      </c>
      <c r="D614" s="4" t="s">
        <v>5</v>
      </c>
      <c r="E614" s="3">
        <v>145</v>
      </c>
      <c r="F614" s="3">
        <f>Merge2[[#This Row],[Coverage]]*100</f>
        <v>83</v>
      </c>
      <c r="G614" s="1">
        <v>0.83</v>
      </c>
      <c r="H614" s="3">
        <v>24337846</v>
      </c>
      <c r="I614" s="2">
        <v>0.59577992234809929</v>
      </c>
    </row>
    <row r="615" spans="1:9" x14ac:dyDescent="0.3">
      <c r="A615" s="4" t="s">
        <v>50</v>
      </c>
      <c r="B615" s="3">
        <v>2013</v>
      </c>
      <c r="C615" s="4" t="s">
        <v>80</v>
      </c>
      <c r="D615" s="4" t="s">
        <v>5</v>
      </c>
      <c r="E615" s="3">
        <v>8</v>
      </c>
      <c r="F615" s="3">
        <f>Merge2[[#This Row],[Coverage]]*100</f>
        <v>83</v>
      </c>
      <c r="G615" s="1">
        <v>0.83</v>
      </c>
      <c r="H615" s="3">
        <v>25051611</v>
      </c>
      <c r="I615" s="2">
        <v>3.1934074020229679E-2</v>
      </c>
    </row>
    <row r="616" spans="1:9" x14ac:dyDescent="0.3">
      <c r="A616" s="4" t="s">
        <v>50</v>
      </c>
      <c r="B616" s="3">
        <v>2014</v>
      </c>
      <c r="C616" s="4" t="s">
        <v>80</v>
      </c>
      <c r="D616" s="4" t="s">
        <v>5</v>
      </c>
      <c r="E616" s="3">
        <v>9</v>
      </c>
      <c r="F616" s="3">
        <f>Merge2[[#This Row],[Coverage]]*100</f>
        <v>83</v>
      </c>
      <c r="G616" s="1">
        <v>0.83</v>
      </c>
      <c r="H616" s="3">
        <v>25788475</v>
      </c>
      <c r="I616" s="2">
        <v>3.4899310641672301E-2</v>
      </c>
    </row>
    <row r="617" spans="1:9" x14ac:dyDescent="0.3">
      <c r="A617" s="4" t="s">
        <v>50</v>
      </c>
      <c r="B617" s="3">
        <v>2015</v>
      </c>
      <c r="C617" s="4" t="s">
        <v>80</v>
      </c>
      <c r="D617" s="4" t="s">
        <v>5</v>
      </c>
      <c r="E617" s="3">
        <v>79</v>
      </c>
      <c r="F617" s="3">
        <f>Merge2[[#This Row],[Coverage]]*100</f>
        <v>83</v>
      </c>
      <c r="G617" s="1">
        <v>0.83</v>
      </c>
      <c r="H617" s="3">
        <v>26547572</v>
      </c>
      <c r="I617" s="2">
        <v>0.29757900270503079</v>
      </c>
    </row>
    <row r="618" spans="1:9" x14ac:dyDescent="0.3">
      <c r="A618" s="4" t="s">
        <v>50</v>
      </c>
      <c r="B618" s="3">
        <v>2016</v>
      </c>
      <c r="C618" s="4" t="s">
        <v>80</v>
      </c>
      <c r="D618" s="4" t="s">
        <v>5</v>
      </c>
      <c r="E618" s="3"/>
      <c r="F618" s="3">
        <f>Merge2[[#This Row],[Coverage]]*100</f>
        <v>83</v>
      </c>
      <c r="G618" s="1">
        <v>0.83</v>
      </c>
      <c r="H618" s="3">
        <v>27337105</v>
      </c>
    </row>
    <row r="619" spans="1:9" x14ac:dyDescent="0.3">
      <c r="A619" s="4" t="s">
        <v>50</v>
      </c>
      <c r="B619" s="3">
        <v>2017</v>
      </c>
      <c r="C619" s="4" t="s">
        <v>80</v>
      </c>
      <c r="D619" s="4" t="s">
        <v>5</v>
      </c>
      <c r="E619" s="3">
        <v>122</v>
      </c>
      <c r="F619" s="3">
        <f>Merge2[[#This Row],[Coverage]]*100</f>
        <v>83</v>
      </c>
      <c r="G619" s="1">
        <v>0.83</v>
      </c>
      <c r="H619" s="3">
        <v>28166393</v>
      </c>
      <c r="I619" s="2">
        <v>0.43314030305548884</v>
      </c>
    </row>
    <row r="620" spans="1:9" x14ac:dyDescent="0.3">
      <c r="A620" s="4" t="s">
        <v>50</v>
      </c>
      <c r="B620" s="3">
        <v>2018</v>
      </c>
      <c r="C620" s="4" t="s">
        <v>80</v>
      </c>
      <c r="D620" s="4" t="s">
        <v>5</v>
      </c>
      <c r="E620" s="3">
        <v>16</v>
      </c>
      <c r="F620" s="3">
        <f>Merge2[[#This Row],[Coverage]]*100</f>
        <v>83</v>
      </c>
      <c r="G620" s="1">
        <v>0.83</v>
      </c>
      <c r="H620" s="3">
        <v>29018644</v>
      </c>
      <c r="I620" s="2">
        <v>5.5136966427514665E-2</v>
      </c>
    </row>
    <row r="621" spans="1:9" x14ac:dyDescent="0.3">
      <c r="A621" s="4" t="s">
        <v>50</v>
      </c>
      <c r="B621" s="3">
        <v>2019</v>
      </c>
      <c r="C621" s="4" t="s">
        <v>80</v>
      </c>
      <c r="D621" s="4" t="s">
        <v>5</v>
      </c>
      <c r="E621" s="3">
        <v>63</v>
      </c>
      <c r="F621" s="3">
        <f>Merge2[[#This Row],[Coverage]]*100</f>
        <v>83</v>
      </c>
      <c r="G621" s="1">
        <v>0.83</v>
      </c>
      <c r="H621" s="3">
        <v>29884380</v>
      </c>
      <c r="I621" s="2">
        <v>0.2108124712642524</v>
      </c>
    </row>
    <row r="622" spans="1:9" x14ac:dyDescent="0.3">
      <c r="A622" s="4" t="s">
        <v>50</v>
      </c>
      <c r="B622" s="3">
        <v>2020</v>
      </c>
      <c r="C622" s="4" t="s">
        <v>80</v>
      </c>
      <c r="D622" s="4" t="s">
        <v>5</v>
      </c>
      <c r="E622" s="3">
        <v>426</v>
      </c>
      <c r="F622" s="3">
        <f>Merge2[[#This Row],[Coverage]]*100</f>
        <v>73</v>
      </c>
      <c r="G622" s="1">
        <v>0.73</v>
      </c>
      <c r="H622" s="3">
        <v>30783688</v>
      </c>
      <c r="I622" s="2">
        <v>1.3838497843403299</v>
      </c>
    </row>
    <row r="623" spans="1:9" x14ac:dyDescent="0.3">
      <c r="A623" s="4" t="s">
        <v>50</v>
      </c>
      <c r="B623" s="3">
        <v>2021</v>
      </c>
      <c r="C623" s="4" t="s">
        <v>80</v>
      </c>
      <c r="D623" s="4" t="s">
        <v>5</v>
      </c>
      <c r="E623" s="3">
        <v>619</v>
      </c>
      <c r="F623" s="3">
        <f>Merge2[[#This Row],[Coverage]]*100</f>
        <v>62</v>
      </c>
      <c r="G623" s="1">
        <v>0.62</v>
      </c>
      <c r="H623" s="3">
        <v>31707800</v>
      </c>
      <c r="I623" s="2">
        <v>1.9522010357073021</v>
      </c>
    </row>
    <row r="624" spans="1:9" x14ac:dyDescent="0.3">
      <c r="A624" s="4" t="s">
        <v>50</v>
      </c>
      <c r="B624" s="3">
        <v>2022</v>
      </c>
      <c r="C624" s="4" t="s">
        <v>80</v>
      </c>
      <c r="D624" s="4" t="s">
        <v>5</v>
      </c>
      <c r="E624" s="3">
        <v>1047</v>
      </c>
      <c r="F624" s="3">
        <f>Merge2[[#This Row],[Coverage]]*100</f>
        <v>63</v>
      </c>
      <c r="G624" s="1">
        <v>0.63</v>
      </c>
      <c r="H624" s="3">
        <v>32656246</v>
      </c>
      <c r="I624" s="2">
        <v>3.2061247946258118</v>
      </c>
    </row>
    <row r="625" spans="1:9" x14ac:dyDescent="0.3">
      <c r="A625" s="4" t="s">
        <v>50</v>
      </c>
      <c r="B625" s="3">
        <v>2023</v>
      </c>
      <c r="C625" s="4" t="s">
        <v>80</v>
      </c>
      <c r="D625" s="4" t="s">
        <v>5</v>
      </c>
      <c r="E625" s="3">
        <v>656</v>
      </c>
      <c r="F625" s="3">
        <f>Merge2[[#This Row],[Coverage]]*100</f>
        <v>65</v>
      </c>
      <c r="G625" s="1">
        <v>0.65</v>
      </c>
      <c r="H625" s="3">
        <v>33635160</v>
      </c>
      <c r="I625" s="2">
        <v>1.9503400608173116</v>
      </c>
    </row>
    <row r="626" spans="1:9" x14ac:dyDescent="0.3">
      <c r="A626" s="4" t="s">
        <v>50</v>
      </c>
      <c r="B626" s="3">
        <v>2024</v>
      </c>
      <c r="C626" s="4" t="s">
        <v>80</v>
      </c>
      <c r="D626" s="4" t="s">
        <v>5</v>
      </c>
      <c r="E626" s="3">
        <v>1237</v>
      </c>
      <c r="F626" s="3">
        <f>Merge2[[#This Row],[Coverage]]*100</f>
        <v>65</v>
      </c>
      <c r="G626" s="1">
        <v>0.65</v>
      </c>
      <c r="H626" s="3">
        <v>34631766</v>
      </c>
      <c r="I626" s="2">
        <v>3.571865206065437</v>
      </c>
    </row>
    <row r="627" spans="1:9" x14ac:dyDescent="0.3">
      <c r="A627" s="4" t="s">
        <v>48</v>
      </c>
      <c r="B627" s="3">
        <v>2000</v>
      </c>
      <c r="C627" s="4" t="s">
        <v>81</v>
      </c>
      <c r="D627" s="4" t="s">
        <v>5</v>
      </c>
      <c r="E627" s="3"/>
      <c r="F627" s="3">
        <f>Merge2[[#This Row],[Coverage]]*100</f>
        <v>46</v>
      </c>
      <c r="G627" s="1">
        <v>0.46</v>
      </c>
      <c r="H627" s="3">
        <v>2613441</v>
      </c>
    </row>
    <row r="628" spans="1:9" x14ac:dyDescent="0.3">
      <c r="A628" s="4" t="s">
        <v>48</v>
      </c>
      <c r="B628" s="3">
        <v>2001</v>
      </c>
      <c r="C628" s="4" t="s">
        <v>81</v>
      </c>
      <c r="D628" s="4" t="s">
        <v>5</v>
      </c>
      <c r="E628" s="3">
        <v>1398</v>
      </c>
      <c r="F628" s="3">
        <f>Merge2[[#This Row],[Coverage]]*100</f>
        <v>57.999999999999993</v>
      </c>
      <c r="G628" s="1">
        <v>0.57999999999999996</v>
      </c>
      <c r="H628" s="3">
        <v>2678760</v>
      </c>
      <c r="I628" s="2">
        <v>52.188325941853691</v>
      </c>
    </row>
    <row r="629" spans="1:9" x14ac:dyDescent="0.3">
      <c r="A629" s="4" t="s">
        <v>48</v>
      </c>
      <c r="B629" s="3">
        <v>2002</v>
      </c>
      <c r="C629" s="4" t="s">
        <v>81</v>
      </c>
      <c r="D629" s="4" t="s">
        <v>5</v>
      </c>
      <c r="E629" s="3">
        <v>883</v>
      </c>
      <c r="F629" s="3">
        <f>Merge2[[#This Row],[Coverage]]*100</f>
        <v>87</v>
      </c>
      <c r="G629" s="1">
        <v>0.87</v>
      </c>
      <c r="H629" s="3">
        <v>2738655</v>
      </c>
      <c r="I629" s="2">
        <v>32.242104244601819</v>
      </c>
    </row>
    <row r="630" spans="1:9" x14ac:dyDescent="0.3">
      <c r="A630" s="4" t="s">
        <v>48</v>
      </c>
      <c r="B630" s="3">
        <v>2003</v>
      </c>
      <c r="C630" s="4" t="s">
        <v>81</v>
      </c>
      <c r="D630" s="4" t="s">
        <v>5</v>
      </c>
      <c r="E630" s="3">
        <v>3611</v>
      </c>
      <c r="F630" s="3">
        <f>Merge2[[#This Row],[Coverage]]*100</f>
        <v>84</v>
      </c>
      <c r="G630" s="1">
        <v>0.84</v>
      </c>
      <c r="H630" s="3">
        <v>2802046</v>
      </c>
      <c r="I630" s="2">
        <v>128.87011847771237</v>
      </c>
    </row>
    <row r="631" spans="1:9" x14ac:dyDescent="0.3">
      <c r="A631" s="4" t="s">
        <v>48</v>
      </c>
      <c r="B631" s="3">
        <v>2004</v>
      </c>
      <c r="C631" s="4" t="s">
        <v>81</v>
      </c>
      <c r="D631" s="4" t="s">
        <v>5</v>
      </c>
      <c r="E631" s="3">
        <v>5039</v>
      </c>
      <c r="F631" s="3">
        <f>Merge2[[#This Row],[Coverage]]*100</f>
        <v>73</v>
      </c>
      <c r="G631" s="1">
        <v>0.73</v>
      </c>
      <c r="H631" s="3">
        <v>2868664</v>
      </c>
      <c r="I631" s="2">
        <v>175.65668199552127</v>
      </c>
    </row>
    <row r="632" spans="1:9" x14ac:dyDescent="0.3">
      <c r="A632" s="4" t="s">
        <v>48</v>
      </c>
      <c r="B632" s="3">
        <v>2005</v>
      </c>
      <c r="C632" s="4" t="s">
        <v>81</v>
      </c>
      <c r="D632" s="4" t="s">
        <v>5</v>
      </c>
      <c r="E632" s="3">
        <v>127</v>
      </c>
      <c r="F632" s="3">
        <f>Merge2[[#This Row],[Coverage]]*100</f>
        <v>65</v>
      </c>
      <c r="G632" s="1">
        <v>0.65</v>
      </c>
      <c r="H632" s="3">
        <v>2939059</v>
      </c>
      <c r="I632" s="2">
        <v>4.3211109406105832</v>
      </c>
    </row>
    <row r="633" spans="1:9" x14ac:dyDescent="0.3">
      <c r="A633" s="4" t="s">
        <v>48</v>
      </c>
      <c r="B633" s="3">
        <v>2006</v>
      </c>
      <c r="C633" s="4" t="s">
        <v>81</v>
      </c>
      <c r="D633" s="4" t="s">
        <v>5</v>
      </c>
      <c r="E633" s="3">
        <v>22</v>
      </c>
      <c r="F633" s="3">
        <f>Merge2[[#This Row],[Coverage]]*100</f>
        <v>62</v>
      </c>
      <c r="G633" s="1">
        <v>0.62</v>
      </c>
      <c r="H633" s="3">
        <v>3013660</v>
      </c>
      <c r="I633" s="2">
        <v>0.73000935739267203</v>
      </c>
    </row>
    <row r="634" spans="1:9" x14ac:dyDescent="0.3">
      <c r="A634" s="4" t="s">
        <v>48</v>
      </c>
      <c r="B634" s="3">
        <v>2007</v>
      </c>
      <c r="C634" s="4" t="s">
        <v>81</v>
      </c>
      <c r="D634" s="4" t="s">
        <v>5</v>
      </c>
      <c r="E634" s="3">
        <v>11</v>
      </c>
      <c r="F634" s="3">
        <f>Merge2[[#This Row],[Coverage]]*100</f>
        <v>67</v>
      </c>
      <c r="G634" s="1">
        <v>0.67</v>
      </c>
      <c r="H634" s="3">
        <v>3093059</v>
      </c>
      <c r="I634" s="2">
        <v>0.35563498788739561</v>
      </c>
    </row>
    <row r="635" spans="1:9" x14ac:dyDescent="0.3">
      <c r="A635" s="4" t="s">
        <v>48</v>
      </c>
      <c r="B635" s="3">
        <v>2008</v>
      </c>
      <c r="C635" s="4" t="s">
        <v>81</v>
      </c>
      <c r="D635" s="4" t="s">
        <v>5</v>
      </c>
      <c r="E635" s="3">
        <v>4</v>
      </c>
      <c r="F635" s="3">
        <f>Merge2[[#This Row],[Coverage]]*100</f>
        <v>65</v>
      </c>
      <c r="G635" s="1">
        <v>0.65</v>
      </c>
      <c r="H635" s="3">
        <v>3183269</v>
      </c>
      <c r="I635" s="2">
        <v>0.1256569897171744</v>
      </c>
    </row>
    <row r="636" spans="1:9" x14ac:dyDescent="0.3">
      <c r="A636" s="4" t="s">
        <v>48</v>
      </c>
      <c r="B636" s="3">
        <v>2009</v>
      </c>
      <c r="C636" s="4" t="s">
        <v>81</v>
      </c>
      <c r="D636" s="4" t="s">
        <v>5</v>
      </c>
      <c r="E636" s="3">
        <v>322</v>
      </c>
      <c r="F636" s="3">
        <f>Merge2[[#This Row],[Coverage]]*100</f>
        <v>59</v>
      </c>
      <c r="G636" s="1">
        <v>0.59</v>
      </c>
      <c r="H636" s="3">
        <v>3284448</v>
      </c>
      <c r="I636" s="2">
        <v>9.8037782909030682</v>
      </c>
    </row>
    <row r="637" spans="1:9" x14ac:dyDescent="0.3">
      <c r="A637" s="4" t="s">
        <v>48</v>
      </c>
      <c r="B637" s="3">
        <v>2010</v>
      </c>
      <c r="C637" s="4" t="s">
        <v>81</v>
      </c>
      <c r="D637" s="4" t="s">
        <v>5</v>
      </c>
      <c r="E637" s="3">
        <v>1292</v>
      </c>
      <c r="F637" s="3">
        <f>Merge2[[#This Row],[Coverage]]*100</f>
        <v>67</v>
      </c>
      <c r="G637" s="1">
        <v>0.67</v>
      </c>
      <c r="H637" s="3">
        <v>3390965</v>
      </c>
      <c r="I637" s="2">
        <v>38.101248464670086</v>
      </c>
    </row>
    <row r="638" spans="1:9" x14ac:dyDescent="0.3">
      <c r="A638" s="4" t="s">
        <v>48</v>
      </c>
      <c r="B638" s="3">
        <v>2011</v>
      </c>
      <c r="C638" s="4" t="s">
        <v>81</v>
      </c>
      <c r="D638" s="4" t="s">
        <v>5</v>
      </c>
      <c r="E638" s="3">
        <v>234</v>
      </c>
      <c r="F638" s="3">
        <f>Merge2[[#This Row],[Coverage]]*100</f>
        <v>67</v>
      </c>
      <c r="G638" s="1">
        <v>0.67</v>
      </c>
      <c r="H638" s="3">
        <v>3502811</v>
      </c>
      <c r="I638" s="2">
        <v>6.6803490111227815</v>
      </c>
    </row>
    <row r="639" spans="1:9" x14ac:dyDescent="0.3">
      <c r="A639" s="4" t="s">
        <v>48</v>
      </c>
      <c r="B639" s="3">
        <v>2012</v>
      </c>
      <c r="C639" s="4" t="s">
        <v>81</v>
      </c>
      <c r="D639" s="4" t="s">
        <v>5</v>
      </c>
      <c r="E639" s="3">
        <v>35</v>
      </c>
      <c r="F639" s="3">
        <f>Merge2[[#This Row],[Coverage]]*100</f>
        <v>75</v>
      </c>
      <c r="G639" s="1">
        <v>0.75</v>
      </c>
      <c r="H639" s="3">
        <v>3619034</v>
      </c>
      <c r="I639" s="2">
        <v>0.96710890254139648</v>
      </c>
    </row>
    <row r="640" spans="1:9" x14ac:dyDescent="0.3">
      <c r="A640" s="4" t="s">
        <v>48</v>
      </c>
      <c r="B640" s="3">
        <v>2013</v>
      </c>
      <c r="C640" s="4" t="s">
        <v>81</v>
      </c>
      <c r="D640" s="4" t="s">
        <v>5</v>
      </c>
      <c r="E640" s="3">
        <v>62</v>
      </c>
      <c r="F640" s="3">
        <f>Merge2[[#This Row],[Coverage]]*100</f>
        <v>80</v>
      </c>
      <c r="G640" s="1">
        <v>0.8</v>
      </c>
      <c r="H640" s="3">
        <v>3734318</v>
      </c>
      <c r="I640" s="2">
        <v>1.6602763878169988</v>
      </c>
    </row>
    <row r="641" spans="1:9" x14ac:dyDescent="0.3">
      <c r="A641" s="4" t="s">
        <v>48</v>
      </c>
      <c r="B641" s="3">
        <v>2014</v>
      </c>
      <c r="C641" s="4" t="s">
        <v>81</v>
      </c>
      <c r="D641" s="4" t="s">
        <v>5</v>
      </c>
      <c r="E641" s="3">
        <v>14</v>
      </c>
      <c r="F641" s="3">
        <f>Merge2[[#This Row],[Coverage]]*100</f>
        <v>75</v>
      </c>
      <c r="G641" s="1">
        <v>0.75</v>
      </c>
      <c r="H641" s="3">
        <v>3848514</v>
      </c>
      <c r="I641" s="2">
        <v>0.36377677202161668</v>
      </c>
    </row>
    <row r="642" spans="1:9" x14ac:dyDescent="0.3">
      <c r="A642" s="4" t="s">
        <v>48</v>
      </c>
      <c r="B642" s="3">
        <v>2015</v>
      </c>
      <c r="C642" s="4" t="s">
        <v>81</v>
      </c>
      <c r="D642" s="4" t="s">
        <v>5</v>
      </c>
      <c r="E642" s="3">
        <v>1</v>
      </c>
      <c r="F642" s="3">
        <f>Merge2[[#This Row],[Coverage]]*100</f>
        <v>70</v>
      </c>
      <c r="G642" s="1">
        <v>0.7</v>
      </c>
      <c r="H642" s="3">
        <v>3965959</v>
      </c>
      <c r="I642" s="2">
        <v>2.5214582399868481E-2</v>
      </c>
    </row>
    <row r="643" spans="1:9" x14ac:dyDescent="0.3">
      <c r="A643" s="4" t="s">
        <v>48</v>
      </c>
      <c r="B643" s="3">
        <v>2016</v>
      </c>
      <c r="C643" s="4" t="s">
        <v>81</v>
      </c>
      <c r="D643" s="4" t="s">
        <v>5</v>
      </c>
      <c r="E643" s="3">
        <v>13</v>
      </c>
      <c r="F643" s="3">
        <f>Merge2[[#This Row],[Coverage]]*100</f>
        <v>73</v>
      </c>
      <c r="G643" s="1">
        <v>0.73</v>
      </c>
      <c r="H643" s="3">
        <v>4086657</v>
      </c>
      <c r="I643" s="2">
        <v>0.31810841966918196</v>
      </c>
    </row>
    <row r="644" spans="1:9" x14ac:dyDescent="0.3">
      <c r="A644" s="4" t="s">
        <v>48</v>
      </c>
      <c r="B644" s="3">
        <v>2017</v>
      </c>
      <c r="C644" s="4" t="s">
        <v>81</v>
      </c>
      <c r="D644" s="4" t="s">
        <v>5</v>
      </c>
      <c r="E644" s="3">
        <v>63</v>
      </c>
      <c r="F644" s="3">
        <f>Merge2[[#This Row],[Coverage]]*100</f>
        <v>75</v>
      </c>
      <c r="G644" s="1">
        <v>0.75</v>
      </c>
      <c r="H644" s="3">
        <v>4210600</v>
      </c>
      <c r="I644" s="2">
        <v>1.4962238160832186</v>
      </c>
    </row>
    <row r="645" spans="1:9" x14ac:dyDescent="0.3">
      <c r="A645" s="4" t="s">
        <v>48</v>
      </c>
      <c r="B645" s="3">
        <v>2018</v>
      </c>
      <c r="C645" s="4" t="s">
        <v>81</v>
      </c>
      <c r="D645" s="4" t="s">
        <v>5</v>
      </c>
      <c r="E645" s="3">
        <v>77</v>
      </c>
      <c r="F645" s="3">
        <f>Merge2[[#This Row],[Coverage]]*100</f>
        <v>78</v>
      </c>
      <c r="G645" s="1">
        <v>0.78</v>
      </c>
      <c r="H645" s="3">
        <v>4337685</v>
      </c>
      <c r="I645" s="2">
        <v>1.7751404262872936</v>
      </c>
    </row>
    <row r="646" spans="1:9" x14ac:dyDescent="0.3">
      <c r="A646" s="4" t="s">
        <v>48</v>
      </c>
      <c r="B646" s="3">
        <v>2019</v>
      </c>
      <c r="C646" s="4" t="s">
        <v>81</v>
      </c>
      <c r="D646" s="4" t="s">
        <v>5</v>
      </c>
      <c r="E646" s="3">
        <v>196</v>
      </c>
      <c r="F646" s="3">
        <f>Merge2[[#This Row],[Coverage]]*100</f>
        <v>75</v>
      </c>
      <c r="G646" s="1">
        <v>0.75</v>
      </c>
      <c r="H646" s="3">
        <v>4467708</v>
      </c>
      <c r="I646" s="2">
        <v>4.3870369325837766</v>
      </c>
    </row>
    <row r="647" spans="1:9" x14ac:dyDescent="0.3">
      <c r="A647" s="4" t="s">
        <v>48</v>
      </c>
      <c r="B647" s="3">
        <v>2020</v>
      </c>
      <c r="C647" s="4" t="s">
        <v>81</v>
      </c>
      <c r="D647" s="4" t="s">
        <v>5</v>
      </c>
      <c r="E647" s="3">
        <v>0</v>
      </c>
      <c r="F647" s="3">
        <f>Merge2[[#This Row],[Coverage]]*100</f>
        <v>82</v>
      </c>
      <c r="G647" s="1">
        <v>0.82</v>
      </c>
      <c r="H647" s="3">
        <v>4600131</v>
      </c>
      <c r="I647" s="2">
        <v>0</v>
      </c>
    </row>
    <row r="648" spans="1:9" x14ac:dyDescent="0.3">
      <c r="A648" s="4" t="s">
        <v>48</v>
      </c>
      <c r="B648" s="3">
        <v>2021</v>
      </c>
      <c r="C648" s="4" t="s">
        <v>81</v>
      </c>
      <c r="D648" s="4" t="s">
        <v>5</v>
      </c>
      <c r="E648" s="3">
        <v>249</v>
      </c>
      <c r="F648" s="3">
        <f>Merge2[[#This Row],[Coverage]]*100</f>
        <v>75</v>
      </c>
      <c r="G648" s="1">
        <v>0.75</v>
      </c>
      <c r="H648" s="3">
        <v>4734874</v>
      </c>
      <c r="I648" s="2">
        <v>5.2588516611001683</v>
      </c>
    </row>
    <row r="649" spans="1:9" x14ac:dyDescent="0.3">
      <c r="A649" s="4" t="s">
        <v>48</v>
      </c>
      <c r="B649" s="3">
        <v>2022</v>
      </c>
      <c r="C649" s="4" t="s">
        <v>81</v>
      </c>
      <c r="D649" s="4" t="s">
        <v>5</v>
      </c>
      <c r="E649" s="3">
        <v>96</v>
      </c>
      <c r="F649" s="3">
        <f>Merge2[[#This Row],[Coverage]]*100</f>
        <v>84</v>
      </c>
      <c r="G649" s="1">
        <v>0.84</v>
      </c>
      <c r="H649" s="3">
        <v>4875637</v>
      </c>
      <c r="I649" s="2">
        <v>1.9689734900280724</v>
      </c>
    </row>
    <row r="650" spans="1:9" x14ac:dyDescent="0.3">
      <c r="A650" s="4" t="s">
        <v>48</v>
      </c>
      <c r="B650" s="3">
        <v>2023</v>
      </c>
      <c r="C650" s="4" t="s">
        <v>81</v>
      </c>
      <c r="D650" s="4" t="s">
        <v>5</v>
      </c>
      <c r="E650" s="3">
        <v>339</v>
      </c>
      <c r="F650" s="3">
        <f>Merge2[[#This Row],[Coverage]]*100</f>
        <v>92</v>
      </c>
      <c r="G650" s="1">
        <v>0.92</v>
      </c>
      <c r="H650" s="3">
        <v>5022441</v>
      </c>
      <c r="I650" s="2">
        <v>6.749705969666941</v>
      </c>
    </row>
    <row r="651" spans="1:9" x14ac:dyDescent="0.3">
      <c r="A651" s="4" t="s">
        <v>48</v>
      </c>
      <c r="B651" s="3">
        <v>2024</v>
      </c>
      <c r="C651" s="4" t="s">
        <v>81</v>
      </c>
      <c r="D651" s="4" t="s">
        <v>5</v>
      </c>
      <c r="E651" s="3">
        <v>1107</v>
      </c>
      <c r="F651" s="3">
        <f>Merge2[[#This Row],[Coverage]]*100</f>
        <v>93</v>
      </c>
      <c r="G651" s="1">
        <v>0.93</v>
      </c>
      <c r="H651" s="3">
        <v>5169395</v>
      </c>
      <c r="I651" s="2">
        <v>21.414498214974866</v>
      </c>
    </row>
    <row r="652" spans="1:9" x14ac:dyDescent="0.3">
      <c r="A652" s="4" t="s">
        <v>49</v>
      </c>
      <c r="B652" s="3">
        <v>2000</v>
      </c>
      <c r="C652" s="4" t="s">
        <v>82</v>
      </c>
      <c r="D652" s="4" t="s">
        <v>5</v>
      </c>
      <c r="E652" s="3">
        <v>0</v>
      </c>
      <c r="F652" s="3">
        <f>Merge2[[#This Row],[Coverage]]*100</f>
        <v>84</v>
      </c>
      <c r="G652" s="1">
        <v>0.84</v>
      </c>
      <c r="H652" s="3">
        <v>1186873</v>
      </c>
      <c r="I652" s="2">
        <v>0</v>
      </c>
    </row>
    <row r="653" spans="1:9" x14ac:dyDescent="0.3">
      <c r="A653" s="4" t="s">
        <v>49</v>
      </c>
      <c r="B653" s="3">
        <v>2001</v>
      </c>
      <c r="C653" s="4" t="s">
        <v>82</v>
      </c>
      <c r="D653" s="4" t="s">
        <v>5</v>
      </c>
      <c r="E653" s="3">
        <v>0</v>
      </c>
      <c r="F653" s="3">
        <f>Merge2[[#This Row],[Coverage]]*100</f>
        <v>90</v>
      </c>
      <c r="G653" s="1">
        <v>0.9</v>
      </c>
      <c r="H653" s="3">
        <v>1196287</v>
      </c>
      <c r="I653" s="2">
        <v>0</v>
      </c>
    </row>
    <row r="654" spans="1:9" x14ac:dyDescent="0.3">
      <c r="A654" s="4" t="s">
        <v>49</v>
      </c>
      <c r="B654" s="3">
        <v>2002</v>
      </c>
      <c r="C654" s="4" t="s">
        <v>82</v>
      </c>
      <c r="D654" s="4" t="s">
        <v>5</v>
      </c>
      <c r="E654" s="3"/>
      <c r="F654" s="3">
        <f>Merge2[[#This Row],[Coverage]]*100</f>
        <v>84</v>
      </c>
      <c r="G654" s="1">
        <v>0.84</v>
      </c>
      <c r="H654" s="3">
        <v>1204621</v>
      </c>
    </row>
    <row r="655" spans="1:9" x14ac:dyDescent="0.3">
      <c r="A655" s="4" t="s">
        <v>49</v>
      </c>
      <c r="B655" s="3">
        <v>2003</v>
      </c>
      <c r="C655" s="4" t="s">
        <v>82</v>
      </c>
      <c r="D655" s="4" t="s">
        <v>5</v>
      </c>
      <c r="E655" s="3">
        <v>777</v>
      </c>
      <c r="F655" s="3">
        <f>Merge2[[#This Row],[Coverage]]*100</f>
        <v>91</v>
      </c>
      <c r="G655" s="1">
        <v>0.91</v>
      </c>
      <c r="H655" s="3">
        <v>1213370</v>
      </c>
      <c r="I655" s="2">
        <v>64.03652636870865</v>
      </c>
    </row>
    <row r="656" spans="1:9" x14ac:dyDescent="0.3">
      <c r="A656" s="4" t="s">
        <v>49</v>
      </c>
      <c r="B656" s="3">
        <v>2004</v>
      </c>
      <c r="C656" s="4" t="s">
        <v>82</v>
      </c>
      <c r="D656" s="4" t="s">
        <v>5</v>
      </c>
      <c r="E656" s="3">
        <v>28</v>
      </c>
      <c r="F656" s="3">
        <f>Merge2[[#This Row],[Coverage]]*100</f>
        <v>98</v>
      </c>
      <c r="G656" s="1">
        <v>0.98</v>
      </c>
      <c r="H656" s="3">
        <v>1221003</v>
      </c>
      <c r="I656" s="2">
        <v>2.2931966588124681</v>
      </c>
    </row>
    <row r="657" spans="1:9" x14ac:dyDescent="0.3">
      <c r="A657" s="4" t="s">
        <v>49</v>
      </c>
      <c r="B657" s="3">
        <v>2005</v>
      </c>
      <c r="C657" s="4" t="s">
        <v>82</v>
      </c>
      <c r="D657" s="4" t="s">
        <v>5</v>
      </c>
      <c r="E657" s="3">
        <v>7</v>
      </c>
      <c r="F657" s="3">
        <f>Merge2[[#This Row],[Coverage]]*100</f>
        <v>98</v>
      </c>
      <c r="G657" s="1">
        <v>0.98</v>
      </c>
      <c r="H657" s="3">
        <v>1228254</v>
      </c>
      <c r="I657" s="2">
        <v>0.56991469191225919</v>
      </c>
    </row>
    <row r="658" spans="1:9" x14ac:dyDescent="0.3">
      <c r="A658" s="4" t="s">
        <v>49</v>
      </c>
      <c r="B658" s="3">
        <v>2006</v>
      </c>
      <c r="C658" s="4" t="s">
        <v>82</v>
      </c>
      <c r="D658" s="4" t="s">
        <v>5</v>
      </c>
      <c r="E658" s="3">
        <v>3</v>
      </c>
      <c r="F658" s="3">
        <f>Merge2[[#This Row],[Coverage]]*100</f>
        <v>99</v>
      </c>
      <c r="G658" s="1">
        <v>0.99</v>
      </c>
      <c r="H658" s="3">
        <v>1233996</v>
      </c>
      <c r="I658" s="2">
        <v>0.24311261948985247</v>
      </c>
    </row>
    <row r="659" spans="1:9" x14ac:dyDescent="0.3">
      <c r="A659" s="4" t="s">
        <v>49</v>
      </c>
      <c r="B659" s="3">
        <v>2007</v>
      </c>
      <c r="C659" s="4" t="s">
        <v>82</v>
      </c>
      <c r="D659" s="4" t="s">
        <v>5</v>
      </c>
      <c r="E659" s="3">
        <v>13</v>
      </c>
      <c r="F659" s="3">
        <f>Merge2[[#This Row],[Coverage]]*100</f>
        <v>98</v>
      </c>
      <c r="G659" s="1">
        <v>0.98</v>
      </c>
      <c r="H659" s="3">
        <v>1239630</v>
      </c>
      <c r="I659" s="2">
        <v>1.048700015327154</v>
      </c>
    </row>
    <row r="660" spans="1:9" x14ac:dyDescent="0.3">
      <c r="A660" s="4" t="s">
        <v>49</v>
      </c>
      <c r="B660" s="3">
        <v>2008</v>
      </c>
      <c r="C660" s="4" t="s">
        <v>82</v>
      </c>
      <c r="D660" s="4" t="s">
        <v>5</v>
      </c>
      <c r="E660" s="3">
        <v>12</v>
      </c>
      <c r="F660" s="3">
        <f>Merge2[[#This Row],[Coverage]]*100</f>
        <v>98</v>
      </c>
      <c r="G660" s="1">
        <v>0.98</v>
      </c>
      <c r="H660" s="3">
        <v>1244121</v>
      </c>
      <c r="I660" s="2">
        <v>0.96453640763237658</v>
      </c>
    </row>
    <row r="661" spans="1:9" x14ac:dyDescent="0.3">
      <c r="A661" s="4" t="s">
        <v>49</v>
      </c>
      <c r="B661" s="3">
        <v>2009</v>
      </c>
      <c r="C661" s="4" t="s">
        <v>82</v>
      </c>
      <c r="D661" s="4" t="s">
        <v>5</v>
      </c>
      <c r="E661" s="3">
        <v>15</v>
      </c>
      <c r="F661" s="3">
        <f>Merge2[[#This Row],[Coverage]]*100</f>
        <v>99</v>
      </c>
      <c r="G661" s="1">
        <v>0.99</v>
      </c>
      <c r="H661" s="3">
        <v>1247429</v>
      </c>
      <c r="I661" s="2">
        <v>1.2024732469743769</v>
      </c>
    </row>
    <row r="662" spans="1:9" x14ac:dyDescent="0.3">
      <c r="A662" s="4" t="s">
        <v>49</v>
      </c>
      <c r="B662" s="3">
        <v>2010</v>
      </c>
      <c r="C662" s="4" t="s">
        <v>82</v>
      </c>
      <c r="D662" s="4" t="s">
        <v>5</v>
      </c>
      <c r="E662" s="3">
        <v>12</v>
      </c>
      <c r="F662" s="3">
        <f>Merge2[[#This Row],[Coverage]]*100</f>
        <v>99</v>
      </c>
      <c r="G662" s="1">
        <v>0.99</v>
      </c>
      <c r="H662" s="3">
        <v>1250400</v>
      </c>
      <c r="I662" s="2">
        <v>0.95969289827255277</v>
      </c>
    </row>
    <row r="663" spans="1:9" x14ac:dyDescent="0.3">
      <c r="A663" s="4" t="s">
        <v>49</v>
      </c>
      <c r="B663" s="3">
        <v>2011</v>
      </c>
      <c r="C663" s="4" t="s">
        <v>82</v>
      </c>
      <c r="D663" s="4" t="s">
        <v>5</v>
      </c>
      <c r="E663" s="3">
        <v>2</v>
      </c>
      <c r="F663" s="3">
        <f>Merge2[[#This Row],[Coverage]]*100</f>
        <v>99</v>
      </c>
      <c r="G663" s="1">
        <v>0.99</v>
      </c>
      <c r="H663" s="3">
        <v>1252404</v>
      </c>
      <c r="I663" s="2">
        <v>0.15969287865576923</v>
      </c>
    </row>
    <row r="664" spans="1:9" x14ac:dyDescent="0.3">
      <c r="A664" s="4" t="s">
        <v>49</v>
      </c>
      <c r="B664" s="3">
        <v>2012</v>
      </c>
      <c r="C664" s="4" t="s">
        <v>82</v>
      </c>
      <c r="D664" s="4" t="s">
        <v>5</v>
      </c>
      <c r="E664" s="3">
        <v>0</v>
      </c>
      <c r="F664" s="3">
        <f>Merge2[[#This Row],[Coverage]]*100</f>
        <v>99</v>
      </c>
      <c r="G664" s="1">
        <v>0.99</v>
      </c>
      <c r="H664" s="3">
        <v>1255882</v>
      </c>
      <c r="I664" s="2">
        <v>0</v>
      </c>
    </row>
    <row r="665" spans="1:9" x14ac:dyDescent="0.3">
      <c r="A665" s="4" t="s">
        <v>49</v>
      </c>
      <c r="B665" s="3">
        <v>2013</v>
      </c>
      <c r="C665" s="4" t="s">
        <v>82</v>
      </c>
      <c r="D665" s="4" t="s">
        <v>5</v>
      </c>
      <c r="E665" s="3">
        <v>0</v>
      </c>
      <c r="F665" s="3">
        <f>Merge2[[#This Row],[Coverage]]*100</f>
        <v>99</v>
      </c>
      <c r="G665" s="1">
        <v>0.99</v>
      </c>
      <c r="H665" s="3">
        <v>1258927</v>
      </c>
      <c r="I665" s="2">
        <v>0</v>
      </c>
    </row>
    <row r="666" spans="1:9" x14ac:dyDescent="0.3">
      <c r="A666" s="4" t="s">
        <v>49</v>
      </c>
      <c r="B666" s="3">
        <v>2014</v>
      </c>
      <c r="C666" s="4" t="s">
        <v>82</v>
      </c>
      <c r="D666" s="4" t="s">
        <v>5</v>
      </c>
      <c r="E666" s="3">
        <v>0</v>
      </c>
      <c r="F666" s="3">
        <f>Merge2[[#This Row],[Coverage]]*100</f>
        <v>98</v>
      </c>
      <c r="G666" s="1">
        <v>0.98</v>
      </c>
      <c r="H666" s="3">
        <v>1261208</v>
      </c>
      <c r="I666" s="2">
        <v>0</v>
      </c>
    </row>
    <row r="667" spans="1:9" x14ac:dyDescent="0.3">
      <c r="A667" s="4" t="s">
        <v>49</v>
      </c>
      <c r="B667" s="3">
        <v>2015</v>
      </c>
      <c r="C667" s="4" t="s">
        <v>82</v>
      </c>
      <c r="D667" s="4" t="s">
        <v>5</v>
      </c>
      <c r="E667" s="3"/>
      <c r="F667" s="3">
        <f>Merge2[[#This Row],[Coverage]]*100</f>
        <v>99</v>
      </c>
      <c r="G667" s="1">
        <v>0.99</v>
      </c>
      <c r="H667" s="3">
        <v>1262879</v>
      </c>
    </row>
    <row r="668" spans="1:9" x14ac:dyDescent="0.3">
      <c r="A668" s="4" t="s">
        <v>49</v>
      </c>
      <c r="B668" s="3">
        <v>2016</v>
      </c>
      <c r="C668" s="4" t="s">
        <v>82</v>
      </c>
      <c r="D668" s="4" t="s">
        <v>5</v>
      </c>
      <c r="E668" s="3">
        <v>0</v>
      </c>
      <c r="F668" s="3">
        <f>Merge2[[#This Row],[Coverage]]*100</f>
        <v>92</v>
      </c>
      <c r="G668" s="1">
        <v>0.92</v>
      </c>
      <c r="H668" s="3">
        <v>1263747</v>
      </c>
      <c r="I668" s="2">
        <v>0</v>
      </c>
    </row>
    <row r="669" spans="1:9" x14ac:dyDescent="0.3">
      <c r="A669" s="4" t="s">
        <v>49</v>
      </c>
      <c r="B669" s="3">
        <v>2017</v>
      </c>
      <c r="C669" s="4" t="s">
        <v>82</v>
      </c>
      <c r="D669" s="4" t="s">
        <v>5</v>
      </c>
      <c r="E669" s="3">
        <v>0</v>
      </c>
      <c r="F669" s="3">
        <f>Merge2[[#This Row],[Coverage]]*100</f>
        <v>89</v>
      </c>
      <c r="G669" s="1">
        <v>0.89</v>
      </c>
      <c r="H669" s="3">
        <v>1264887</v>
      </c>
      <c r="I669" s="2">
        <v>0</v>
      </c>
    </row>
    <row r="670" spans="1:9" x14ac:dyDescent="0.3">
      <c r="A670" s="4" t="s">
        <v>49</v>
      </c>
      <c r="B670" s="3">
        <v>2018</v>
      </c>
      <c r="C670" s="4" t="s">
        <v>82</v>
      </c>
      <c r="D670" s="4" t="s">
        <v>5</v>
      </c>
      <c r="E670" s="3"/>
      <c r="F670" s="3">
        <f>Merge2[[#This Row],[Coverage]]*100</f>
        <v>99</v>
      </c>
      <c r="G670" s="1">
        <v>0.99</v>
      </c>
      <c r="H670" s="3">
        <v>1265577</v>
      </c>
    </row>
    <row r="671" spans="1:9" x14ac:dyDescent="0.3">
      <c r="A671" s="4" t="s">
        <v>49</v>
      </c>
      <c r="B671" s="3">
        <v>2019</v>
      </c>
      <c r="C671" s="4" t="s">
        <v>82</v>
      </c>
      <c r="D671" s="4" t="s">
        <v>5</v>
      </c>
      <c r="E671" s="3">
        <v>98</v>
      </c>
      <c r="F671" s="3">
        <f>Merge2[[#This Row],[Coverage]]*100</f>
        <v>99</v>
      </c>
      <c r="G671" s="1">
        <v>0.99</v>
      </c>
      <c r="H671" s="3">
        <v>1265985</v>
      </c>
      <c r="I671" s="2">
        <v>7.7410079898261044</v>
      </c>
    </row>
    <row r="672" spans="1:9" x14ac:dyDescent="0.3">
      <c r="A672" s="4" t="s">
        <v>49</v>
      </c>
      <c r="B672" s="3">
        <v>2020</v>
      </c>
      <c r="C672" s="4" t="s">
        <v>82</v>
      </c>
      <c r="D672" s="4" t="s">
        <v>5</v>
      </c>
      <c r="E672" s="3"/>
      <c r="F672" s="3">
        <f>Merge2[[#This Row],[Coverage]]*100</f>
        <v>98</v>
      </c>
      <c r="G672" s="1">
        <v>0.98</v>
      </c>
      <c r="H672" s="3">
        <v>1266014</v>
      </c>
    </row>
    <row r="673" spans="1:9" x14ac:dyDescent="0.3">
      <c r="A673" s="4" t="s">
        <v>49</v>
      </c>
      <c r="B673" s="3">
        <v>2021</v>
      </c>
      <c r="C673" s="4" t="s">
        <v>82</v>
      </c>
      <c r="D673" s="4" t="s">
        <v>5</v>
      </c>
      <c r="E673" s="3">
        <v>0</v>
      </c>
      <c r="F673" s="3">
        <f>Merge2[[#This Row],[Coverage]]*100</f>
        <v>97</v>
      </c>
      <c r="G673" s="1">
        <v>0.97</v>
      </c>
      <c r="H673" s="3">
        <v>1266334</v>
      </c>
      <c r="I673" s="2">
        <v>0</v>
      </c>
    </row>
    <row r="674" spans="1:9" x14ac:dyDescent="0.3">
      <c r="A674" s="4" t="s">
        <v>49</v>
      </c>
      <c r="B674" s="3">
        <v>2022</v>
      </c>
      <c r="C674" s="4" t="s">
        <v>82</v>
      </c>
      <c r="D674" s="4" t="s">
        <v>5</v>
      </c>
      <c r="E674" s="3">
        <v>0</v>
      </c>
      <c r="F674" s="3">
        <f>Merge2[[#This Row],[Coverage]]*100</f>
        <v>98</v>
      </c>
      <c r="G674" s="1">
        <v>0.98</v>
      </c>
      <c r="H674" s="3">
        <v>1262523</v>
      </c>
      <c r="I674" s="2">
        <v>0</v>
      </c>
    </row>
    <row r="675" spans="1:9" x14ac:dyDescent="0.3">
      <c r="A675" s="4" t="s">
        <v>49</v>
      </c>
      <c r="B675" s="3">
        <v>2023</v>
      </c>
      <c r="C675" s="4" t="s">
        <v>82</v>
      </c>
      <c r="D675" s="4" t="s">
        <v>5</v>
      </c>
      <c r="E675" s="3">
        <v>0</v>
      </c>
      <c r="F675" s="3">
        <f>Merge2[[#This Row],[Coverage]]*100</f>
        <v>96</v>
      </c>
      <c r="G675" s="1">
        <v>0.96</v>
      </c>
      <c r="H675" s="3">
        <v>1248647</v>
      </c>
      <c r="I675" s="2">
        <v>0</v>
      </c>
    </row>
    <row r="676" spans="1:9" x14ac:dyDescent="0.3">
      <c r="A676" s="4" t="s">
        <v>49</v>
      </c>
      <c r="B676" s="3">
        <v>2024</v>
      </c>
      <c r="C676" s="4" t="s">
        <v>82</v>
      </c>
      <c r="D676" s="4" t="s">
        <v>5</v>
      </c>
      <c r="E676" s="3">
        <v>0</v>
      </c>
      <c r="F676" s="3">
        <f>Merge2[[#This Row],[Coverage]]*100</f>
        <v>98</v>
      </c>
      <c r="G676" s="1">
        <v>0.98</v>
      </c>
      <c r="H676" s="3">
        <v>1245779</v>
      </c>
      <c r="I676" s="2">
        <v>0</v>
      </c>
    </row>
    <row r="677" spans="1:9" x14ac:dyDescent="0.3">
      <c r="A677" s="4" t="s">
        <v>46</v>
      </c>
      <c r="B677" s="3">
        <v>2000</v>
      </c>
      <c r="C677" s="4" t="s">
        <v>83</v>
      </c>
      <c r="D677" s="4" t="s">
        <v>5</v>
      </c>
      <c r="E677" s="3">
        <v>304</v>
      </c>
      <c r="F677" s="3">
        <f>Merge2[[#This Row],[Coverage]]*100</f>
        <v>73</v>
      </c>
      <c r="G677" s="1">
        <v>0.73</v>
      </c>
      <c r="H677" s="3">
        <v>11315942</v>
      </c>
      <c r="I677" s="2">
        <v>2.6864754167174061</v>
      </c>
    </row>
    <row r="678" spans="1:9" x14ac:dyDescent="0.3">
      <c r="A678" s="4" t="s">
        <v>46</v>
      </c>
      <c r="B678" s="3">
        <v>2001</v>
      </c>
      <c r="C678" s="4" t="s">
        <v>83</v>
      </c>
      <c r="D678" s="4" t="s">
        <v>5</v>
      </c>
      <c r="E678" s="3">
        <v>150</v>
      </c>
      <c r="F678" s="3">
        <f>Merge2[[#This Row],[Coverage]]*100</f>
        <v>81</v>
      </c>
      <c r="G678" s="1">
        <v>0.81</v>
      </c>
      <c r="H678" s="3">
        <v>11593058</v>
      </c>
      <c r="I678" s="2">
        <v>1.2938777671948161</v>
      </c>
    </row>
    <row r="679" spans="1:9" x14ac:dyDescent="0.3">
      <c r="A679" s="4" t="s">
        <v>46</v>
      </c>
      <c r="B679" s="3">
        <v>2002</v>
      </c>
      <c r="C679" s="4" t="s">
        <v>83</v>
      </c>
      <c r="D679" s="4" t="s">
        <v>5</v>
      </c>
      <c r="E679" s="3">
        <v>92</v>
      </c>
      <c r="F679" s="3">
        <f>Merge2[[#This Row],[Coverage]]*100</f>
        <v>69</v>
      </c>
      <c r="G679" s="1">
        <v>0.69</v>
      </c>
      <c r="H679" s="3">
        <v>11880440</v>
      </c>
      <c r="I679" s="2">
        <v>0.77438209359249321</v>
      </c>
    </row>
    <row r="680" spans="1:9" x14ac:dyDescent="0.3">
      <c r="A680" s="4" t="s">
        <v>46</v>
      </c>
      <c r="B680" s="3">
        <v>2003</v>
      </c>
      <c r="C680" s="4" t="s">
        <v>83</v>
      </c>
      <c r="D680" s="4" t="s">
        <v>5</v>
      </c>
      <c r="E680" s="3">
        <v>167</v>
      </c>
      <c r="F680" s="3">
        <f>Merge2[[#This Row],[Coverage]]*100</f>
        <v>77</v>
      </c>
      <c r="G680" s="1">
        <v>0.77</v>
      </c>
      <c r="H680" s="3">
        <v>12181574</v>
      </c>
      <c r="I680" s="2">
        <v>1.3709230022327166</v>
      </c>
    </row>
    <row r="681" spans="1:9" x14ac:dyDescent="0.3">
      <c r="A681" s="4" t="s">
        <v>46</v>
      </c>
      <c r="B681" s="3">
        <v>2004</v>
      </c>
      <c r="C681" s="4" t="s">
        <v>83</v>
      </c>
      <c r="D681" s="4" t="s">
        <v>5</v>
      </c>
      <c r="E681" s="3">
        <v>1116</v>
      </c>
      <c r="F681" s="3">
        <f>Merge2[[#This Row],[Coverage]]*100</f>
        <v>80</v>
      </c>
      <c r="G681" s="1">
        <v>0.8</v>
      </c>
      <c r="H681" s="3">
        <v>12500737</v>
      </c>
      <c r="I681" s="2">
        <v>8.9274736361544136</v>
      </c>
    </row>
    <row r="682" spans="1:9" x14ac:dyDescent="0.3">
      <c r="A682" s="4" t="s">
        <v>46</v>
      </c>
      <c r="B682" s="3">
        <v>2005</v>
      </c>
      <c r="C682" s="4" t="s">
        <v>83</v>
      </c>
      <c r="D682" s="4" t="s">
        <v>5</v>
      </c>
      <c r="E682" s="3">
        <v>184</v>
      </c>
      <c r="F682" s="3">
        <f>Merge2[[#This Row],[Coverage]]*100</f>
        <v>82</v>
      </c>
      <c r="G682" s="1">
        <v>0.82</v>
      </c>
      <c r="H682" s="3">
        <v>12840031</v>
      </c>
      <c r="I682" s="2">
        <v>1.433018347074084</v>
      </c>
    </row>
    <row r="683" spans="1:9" x14ac:dyDescent="0.3">
      <c r="A683" s="4" t="s">
        <v>46</v>
      </c>
      <c r="B683" s="3">
        <v>2006</v>
      </c>
      <c r="C683" s="4" t="s">
        <v>83</v>
      </c>
      <c r="D683" s="4" t="s">
        <v>5</v>
      </c>
      <c r="E683" s="3">
        <v>1</v>
      </c>
      <c r="F683" s="3">
        <f>Merge2[[#This Row],[Coverage]]*100</f>
        <v>85</v>
      </c>
      <c r="G683" s="1">
        <v>0.85</v>
      </c>
      <c r="H683" s="3">
        <v>13198701</v>
      </c>
      <c r="I683" s="2">
        <v>7.5765031725470557E-3</v>
      </c>
    </row>
    <row r="684" spans="1:9" x14ac:dyDescent="0.3">
      <c r="A684" s="4" t="s">
        <v>46</v>
      </c>
      <c r="B684" s="3">
        <v>2007</v>
      </c>
      <c r="C684" s="4" t="s">
        <v>83</v>
      </c>
      <c r="D684" s="4" t="s">
        <v>5</v>
      </c>
      <c r="E684" s="3">
        <v>143</v>
      </c>
      <c r="F684" s="3">
        <f>Merge2[[#This Row],[Coverage]]*100</f>
        <v>83</v>
      </c>
      <c r="G684" s="1">
        <v>0.83</v>
      </c>
      <c r="H684" s="3">
        <v>13576343</v>
      </c>
      <c r="I684" s="2">
        <v>1.0533027929538905</v>
      </c>
    </row>
    <row r="685" spans="1:9" x14ac:dyDescent="0.3">
      <c r="A685" s="4" t="s">
        <v>46</v>
      </c>
      <c r="B685" s="3">
        <v>2008</v>
      </c>
      <c r="C685" s="4" t="s">
        <v>83</v>
      </c>
      <c r="D685" s="4" t="s">
        <v>5</v>
      </c>
      <c r="E685" s="3">
        <v>20</v>
      </c>
      <c r="F685" s="3">
        <f>Merge2[[#This Row],[Coverage]]*100</f>
        <v>88</v>
      </c>
      <c r="G685" s="1">
        <v>0.88</v>
      </c>
      <c r="H685" s="3">
        <v>13976417</v>
      </c>
      <c r="I685" s="2">
        <v>0.14309819176116453</v>
      </c>
    </row>
    <row r="686" spans="1:9" x14ac:dyDescent="0.3">
      <c r="A686" s="4" t="s">
        <v>46</v>
      </c>
      <c r="B686" s="3">
        <v>2009</v>
      </c>
      <c r="C686" s="4" t="s">
        <v>83</v>
      </c>
      <c r="D686" s="4" t="s">
        <v>5</v>
      </c>
      <c r="E686" s="3">
        <v>21</v>
      </c>
      <c r="F686" s="3">
        <f>Merge2[[#This Row],[Coverage]]*100</f>
        <v>92</v>
      </c>
      <c r="G686" s="1">
        <v>0.92</v>
      </c>
      <c r="H686" s="3">
        <v>14395788</v>
      </c>
      <c r="I686" s="2">
        <v>0.14587600206393703</v>
      </c>
    </row>
    <row r="687" spans="1:9" x14ac:dyDescent="0.3">
      <c r="A687" s="4" t="s">
        <v>46</v>
      </c>
      <c r="B687" s="3">
        <v>2010</v>
      </c>
      <c r="C687" s="4" t="s">
        <v>83</v>
      </c>
      <c r="D687" s="4" t="s">
        <v>5</v>
      </c>
      <c r="E687" s="3">
        <v>118712</v>
      </c>
      <c r="F687" s="3">
        <f>Merge2[[#This Row],[Coverage]]*100</f>
        <v>93</v>
      </c>
      <c r="G687" s="1">
        <v>0.93</v>
      </c>
      <c r="H687" s="3">
        <v>14826463</v>
      </c>
      <c r="I687" s="2">
        <v>800.67646612681665</v>
      </c>
    </row>
    <row r="688" spans="1:9" x14ac:dyDescent="0.3">
      <c r="A688" s="4" t="s">
        <v>46</v>
      </c>
      <c r="B688" s="3">
        <v>2011</v>
      </c>
      <c r="C688" s="4" t="s">
        <v>83</v>
      </c>
      <c r="D688" s="4" t="s">
        <v>5</v>
      </c>
      <c r="E688" s="3">
        <v>26</v>
      </c>
      <c r="F688" s="3">
        <f>Merge2[[#This Row],[Coverage]]*100</f>
        <v>96</v>
      </c>
      <c r="G688" s="1">
        <v>0.96</v>
      </c>
      <c r="H688" s="3">
        <v>15265022</v>
      </c>
      <c r="I688" s="2">
        <v>0.1703240257367464</v>
      </c>
    </row>
    <row r="689" spans="1:9" x14ac:dyDescent="0.3">
      <c r="A689" s="4" t="s">
        <v>46</v>
      </c>
      <c r="B689" s="3">
        <v>2012</v>
      </c>
      <c r="C689" s="4" t="s">
        <v>83</v>
      </c>
      <c r="D689" s="4" t="s">
        <v>5</v>
      </c>
      <c r="E689" s="3">
        <v>11</v>
      </c>
      <c r="F689" s="3">
        <f>Merge2[[#This Row],[Coverage]]*100</f>
        <v>90</v>
      </c>
      <c r="G689" s="1">
        <v>0.9</v>
      </c>
      <c r="H689" s="3">
        <v>15709577</v>
      </c>
      <c r="I689" s="2">
        <v>7.0020981468819951E-2</v>
      </c>
    </row>
    <row r="690" spans="1:9" x14ac:dyDescent="0.3">
      <c r="A690" s="4" t="s">
        <v>46</v>
      </c>
      <c r="B690" s="3">
        <v>2013</v>
      </c>
      <c r="C690" s="4" t="s">
        <v>83</v>
      </c>
      <c r="D690" s="4" t="s">
        <v>5</v>
      </c>
      <c r="E690" s="3">
        <v>1</v>
      </c>
      <c r="F690" s="3">
        <f>Merge2[[#This Row],[Coverage]]*100</f>
        <v>88</v>
      </c>
      <c r="G690" s="1">
        <v>0.88</v>
      </c>
      <c r="H690" s="3">
        <v>16161816</v>
      </c>
      <c r="I690" s="2">
        <v>6.1874234925085158E-3</v>
      </c>
    </row>
    <row r="691" spans="1:9" x14ac:dyDescent="0.3">
      <c r="A691" s="4" t="s">
        <v>46</v>
      </c>
      <c r="B691" s="3">
        <v>2014</v>
      </c>
      <c r="C691" s="4" t="s">
        <v>83</v>
      </c>
      <c r="D691" s="4" t="s">
        <v>5</v>
      </c>
      <c r="E691" s="3">
        <v>3</v>
      </c>
      <c r="F691" s="3">
        <f>Merge2[[#This Row],[Coverage]]*100</f>
        <v>85</v>
      </c>
      <c r="G691" s="1">
        <v>0.85</v>
      </c>
      <c r="H691" s="3">
        <v>16621538</v>
      </c>
      <c r="I691" s="2">
        <v>1.8048871289768734E-2</v>
      </c>
    </row>
    <row r="692" spans="1:9" x14ac:dyDescent="0.3">
      <c r="A692" s="4" t="s">
        <v>46</v>
      </c>
      <c r="B692" s="3">
        <v>2015</v>
      </c>
      <c r="C692" s="4" t="s">
        <v>83</v>
      </c>
      <c r="D692" s="4" t="s">
        <v>5</v>
      </c>
      <c r="E692" s="3">
        <v>0</v>
      </c>
      <c r="F692" s="3">
        <f>Merge2[[#This Row],[Coverage]]*100</f>
        <v>87</v>
      </c>
      <c r="G692" s="1">
        <v>0.87</v>
      </c>
      <c r="H692" s="3">
        <v>17085587</v>
      </c>
      <c r="I692" s="2">
        <v>0</v>
      </c>
    </row>
    <row r="693" spans="1:9" x14ac:dyDescent="0.3">
      <c r="A693" s="4" t="s">
        <v>46</v>
      </c>
      <c r="B693" s="3">
        <v>2016</v>
      </c>
      <c r="C693" s="4" t="s">
        <v>83</v>
      </c>
      <c r="D693" s="4" t="s">
        <v>5</v>
      </c>
      <c r="E693" s="3">
        <v>0</v>
      </c>
      <c r="F693" s="3">
        <f>Merge2[[#This Row],[Coverage]]*100</f>
        <v>81</v>
      </c>
      <c r="G693" s="1">
        <v>0.81</v>
      </c>
      <c r="H693" s="3">
        <v>17557739</v>
      </c>
      <c r="I693" s="2">
        <v>0</v>
      </c>
    </row>
    <row r="694" spans="1:9" x14ac:dyDescent="0.3">
      <c r="A694" s="4" t="s">
        <v>46</v>
      </c>
      <c r="B694" s="3">
        <v>2017</v>
      </c>
      <c r="C694" s="4" t="s">
        <v>83</v>
      </c>
      <c r="D694" s="4" t="s">
        <v>5</v>
      </c>
      <c r="E694" s="3">
        <v>4</v>
      </c>
      <c r="F694" s="3">
        <f>Merge2[[#This Row],[Coverage]]*100</f>
        <v>83</v>
      </c>
      <c r="G694" s="1">
        <v>0.83</v>
      </c>
      <c r="H694" s="3">
        <v>18039715</v>
      </c>
      <c r="I694" s="2">
        <v>2.2173299301014457E-2</v>
      </c>
    </row>
    <row r="695" spans="1:9" x14ac:dyDescent="0.3">
      <c r="A695" s="4" t="s">
        <v>46</v>
      </c>
      <c r="B695" s="3">
        <v>2018</v>
      </c>
      <c r="C695" s="4" t="s">
        <v>83</v>
      </c>
      <c r="D695" s="4" t="s">
        <v>5</v>
      </c>
      <c r="E695" s="3">
        <v>1</v>
      </c>
      <c r="F695" s="3">
        <f>Merge2[[#This Row],[Coverage]]*100</f>
        <v>87</v>
      </c>
      <c r="G695" s="1">
        <v>0.87</v>
      </c>
      <c r="H695" s="3">
        <v>18528081</v>
      </c>
      <c r="I695" s="2">
        <v>5.397213019524256E-3</v>
      </c>
    </row>
    <row r="696" spans="1:9" x14ac:dyDescent="0.3">
      <c r="A696" s="4" t="s">
        <v>46</v>
      </c>
      <c r="B696" s="3">
        <v>2019</v>
      </c>
      <c r="C696" s="4" t="s">
        <v>83</v>
      </c>
      <c r="D696" s="4" t="s">
        <v>5</v>
      </c>
      <c r="E696" s="3">
        <v>17</v>
      </c>
      <c r="F696" s="3">
        <f>Merge2[[#This Row],[Coverage]]*100</f>
        <v>92</v>
      </c>
      <c r="G696" s="1">
        <v>0.92</v>
      </c>
      <c r="H696" s="3">
        <v>19025752</v>
      </c>
      <c r="I696" s="2">
        <v>8.9352578547223782E-2</v>
      </c>
    </row>
    <row r="697" spans="1:9" x14ac:dyDescent="0.3">
      <c r="A697" s="4" t="s">
        <v>46</v>
      </c>
      <c r="B697" s="3">
        <v>2020</v>
      </c>
      <c r="C697" s="4" t="s">
        <v>83</v>
      </c>
      <c r="D697" s="4" t="s">
        <v>5</v>
      </c>
      <c r="E697" s="3">
        <v>76</v>
      </c>
      <c r="F697" s="3">
        <f>Merge2[[#This Row],[Coverage]]*100</f>
        <v>90</v>
      </c>
      <c r="G697" s="1">
        <v>0.9</v>
      </c>
      <c r="H697" s="3">
        <v>19533888</v>
      </c>
      <c r="I697" s="2">
        <v>0.38906745037137508</v>
      </c>
    </row>
    <row r="698" spans="1:9" x14ac:dyDescent="0.3">
      <c r="A698" s="4" t="s">
        <v>46</v>
      </c>
      <c r="B698" s="3">
        <v>2021</v>
      </c>
      <c r="C698" s="4" t="s">
        <v>83</v>
      </c>
      <c r="D698" s="4" t="s">
        <v>5</v>
      </c>
      <c r="E698" s="3">
        <v>5</v>
      </c>
      <c r="F698" s="3">
        <f>Merge2[[#This Row],[Coverage]]*100</f>
        <v>90</v>
      </c>
      <c r="G698" s="1">
        <v>0.9</v>
      </c>
      <c r="H698" s="3">
        <v>20047258</v>
      </c>
      <c r="I698" s="2">
        <v>2.4941066753368463E-2</v>
      </c>
    </row>
    <row r="699" spans="1:9" x14ac:dyDescent="0.3">
      <c r="A699" s="4" t="s">
        <v>46</v>
      </c>
      <c r="B699" s="3">
        <v>2022</v>
      </c>
      <c r="C699" s="4" t="s">
        <v>83</v>
      </c>
      <c r="D699" s="4" t="s">
        <v>5</v>
      </c>
      <c r="E699" s="3">
        <v>29</v>
      </c>
      <c r="F699" s="3">
        <f>Merge2[[#This Row],[Coverage]]*100</f>
        <v>82</v>
      </c>
      <c r="G699" s="1">
        <v>0.82</v>
      </c>
      <c r="H699" s="3">
        <v>20568728</v>
      </c>
      <c r="I699" s="2">
        <v>0.14099073117209776</v>
      </c>
    </row>
    <row r="700" spans="1:9" x14ac:dyDescent="0.3">
      <c r="A700" s="4" t="s">
        <v>46</v>
      </c>
      <c r="B700" s="3">
        <v>2023</v>
      </c>
      <c r="C700" s="4" t="s">
        <v>83</v>
      </c>
      <c r="D700" s="4" t="s">
        <v>5</v>
      </c>
      <c r="E700" s="3">
        <v>173</v>
      </c>
      <c r="F700" s="3">
        <f>Merge2[[#This Row],[Coverage]]*100</f>
        <v>87</v>
      </c>
      <c r="G700" s="1">
        <v>0.87</v>
      </c>
      <c r="H700" s="3">
        <v>21104482</v>
      </c>
      <c r="I700" s="2">
        <v>0.81973108840103259</v>
      </c>
    </row>
    <row r="701" spans="1:9" x14ac:dyDescent="0.3">
      <c r="A701" s="4" t="s">
        <v>46</v>
      </c>
      <c r="B701" s="3">
        <v>2024</v>
      </c>
      <c r="C701" s="4" t="s">
        <v>83</v>
      </c>
      <c r="D701" s="4" t="s">
        <v>5</v>
      </c>
      <c r="E701" s="3">
        <v>958</v>
      </c>
      <c r="F701" s="3">
        <f>Merge2[[#This Row],[Coverage]]*100</f>
        <v>89</v>
      </c>
      <c r="G701" s="1">
        <v>0.89</v>
      </c>
      <c r="H701" s="3">
        <v>21655286</v>
      </c>
      <c r="I701" s="2">
        <v>4.4238621461753036</v>
      </c>
    </row>
    <row r="702" spans="1:9" x14ac:dyDescent="0.3">
      <c r="A702" s="4" t="s">
        <v>51</v>
      </c>
      <c r="B702" s="3">
        <v>2000</v>
      </c>
      <c r="C702" s="4" t="s">
        <v>84</v>
      </c>
      <c r="D702" s="4" t="s">
        <v>5</v>
      </c>
      <c r="E702" s="3">
        <v>469</v>
      </c>
      <c r="F702" s="3">
        <f>Merge2[[#This Row],[Coverage]]*100</f>
        <v>69</v>
      </c>
      <c r="G702" s="1">
        <v>0.69</v>
      </c>
      <c r="H702" s="3">
        <v>1818647</v>
      </c>
      <c r="I702" s="2">
        <v>25.788402037338749</v>
      </c>
    </row>
    <row r="703" spans="1:9" x14ac:dyDescent="0.3">
      <c r="A703" s="4" t="s">
        <v>51</v>
      </c>
      <c r="B703" s="3">
        <v>2001</v>
      </c>
      <c r="C703" s="4" t="s">
        <v>84</v>
      </c>
      <c r="D703" s="4" t="s">
        <v>5</v>
      </c>
      <c r="E703" s="3">
        <v>416</v>
      </c>
      <c r="F703" s="3">
        <f>Merge2[[#This Row],[Coverage]]*100</f>
        <v>57.999999999999993</v>
      </c>
      <c r="G703" s="1">
        <v>0.57999999999999996</v>
      </c>
      <c r="H703" s="3">
        <v>1857048</v>
      </c>
      <c r="I703" s="2">
        <v>22.401144181518195</v>
      </c>
    </row>
    <row r="704" spans="1:9" x14ac:dyDescent="0.3">
      <c r="A704" s="4" t="s">
        <v>51</v>
      </c>
      <c r="B704" s="3">
        <v>2002</v>
      </c>
      <c r="C704" s="4" t="s">
        <v>84</v>
      </c>
      <c r="D704" s="4" t="s">
        <v>5</v>
      </c>
      <c r="E704" s="3">
        <v>1278</v>
      </c>
      <c r="F704" s="3">
        <f>Merge2[[#This Row],[Coverage]]*100</f>
        <v>68</v>
      </c>
      <c r="G704" s="1">
        <v>0.68</v>
      </c>
      <c r="H704" s="3">
        <v>1889970</v>
      </c>
      <c r="I704" s="2">
        <v>67.620120954300859</v>
      </c>
    </row>
    <row r="705" spans="1:9" x14ac:dyDescent="0.3">
      <c r="A705" s="4" t="s">
        <v>51</v>
      </c>
      <c r="B705" s="3">
        <v>2003</v>
      </c>
      <c r="C705" s="4" t="s">
        <v>84</v>
      </c>
      <c r="D705" s="4" t="s">
        <v>5</v>
      </c>
      <c r="E705" s="3">
        <v>262</v>
      </c>
      <c r="F705" s="3">
        <f>Merge2[[#This Row],[Coverage]]*100</f>
        <v>70</v>
      </c>
      <c r="G705" s="1">
        <v>0.7</v>
      </c>
      <c r="H705" s="3">
        <v>1917464</v>
      </c>
      <c r="I705" s="2">
        <v>13.663881042877467</v>
      </c>
    </row>
    <row r="706" spans="1:9" x14ac:dyDescent="0.3">
      <c r="A706" s="4" t="s">
        <v>51</v>
      </c>
      <c r="B706" s="3">
        <v>2004</v>
      </c>
      <c r="C706" s="4" t="s">
        <v>84</v>
      </c>
      <c r="D706" s="4" t="s">
        <v>5</v>
      </c>
      <c r="E706" s="3">
        <v>4</v>
      </c>
      <c r="F706" s="3">
        <f>Merge2[[#This Row],[Coverage]]*100</f>
        <v>70</v>
      </c>
      <c r="G706" s="1">
        <v>0.7</v>
      </c>
      <c r="H706" s="3">
        <v>1942082</v>
      </c>
      <c r="I706" s="2">
        <v>0.20596452672956139</v>
      </c>
    </row>
    <row r="707" spans="1:9" x14ac:dyDescent="0.3">
      <c r="A707" s="4" t="s">
        <v>51</v>
      </c>
      <c r="B707" s="3">
        <v>2005</v>
      </c>
      <c r="C707" s="4" t="s">
        <v>84</v>
      </c>
      <c r="D707" s="4" t="s">
        <v>5</v>
      </c>
      <c r="E707" s="3">
        <v>4</v>
      </c>
      <c r="F707" s="3">
        <f>Merge2[[#This Row],[Coverage]]*100</f>
        <v>73</v>
      </c>
      <c r="G707" s="1">
        <v>0.73</v>
      </c>
      <c r="H707" s="3">
        <v>1966582</v>
      </c>
      <c r="I707" s="2">
        <v>0.20339858699001617</v>
      </c>
    </row>
    <row r="708" spans="1:9" x14ac:dyDescent="0.3">
      <c r="A708" s="4" t="s">
        <v>51</v>
      </c>
      <c r="B708" s="3">
        <v>2006</v>
      </c>
      <c r="C708" s="4" t="s">
        <v>84</v>
      </c>
      <c r="D708" s="4" t="s">
        <v>5</v>
      </c>
      <c r="E708" s="3">
        <v>3</v>
      </c>
      <c r="F708" s="3">
        <f>Merge2[[#This Row],[Coverage]]*100</f>
        <v>63</v>
      </c>
      <c r="G708" s="1">
        <v>0.63</v>
      </c>
      <c r="H708" s="3">
        <v>1991888</v>
      </c>
      <c r="I708" s="2">
        <v>0.15061087772003245</v>
      </c>
    </row>
    <row r="709" spans="1:9" x14ac:dyDescent="0.3">
      <c r="A709" s="4" t="s">
        <v>51</v>
      </c>
      <c r="B709" s="3">
        <v>2007</v>
      </c>
      <c r="C709" s="4" t="s">
        <v>84</v>
      </c>
      <c r="D709" s="4" t="s">
        <v>5</v>
      </c>
      <c r="E709" s="3">
        <v>21</v>
      </c>
      <c r="F709" s="3">
        <f>Merge2[[#This Row],[Coverage]]*100</f>
        <v>69</v>
      </c>
      <c r="G709" s="1">
        <v>0.69</v>
      </c>
      <c r="H709" s="3">
        <v>2018600</v>
      </c>
      <c r="I709" s="2">
        <v>1.040324977707322</v>
      </c>
    </row>
    <row r="710" spans="1:9" x14ac:dyDescent="0.3">
      <c r="A710" s="4" t="s">
        <v>51</v>
      </c>
      <c r="B710" s="3">
        <v>2008</v>
      </c>
      <c r="C710" s="4" t="s">
        <v>84</v>
      </c>
      <c r="D710" s="4" t="s">
        <v>5</v>
      </c>
      <c r="E710" s="3">
        <v>0</v>
      </c>
      <c r="F710" s="3">
        <f>Merge2[[#This Row],[Coverage]]*100</f>
        <v>73</v>
      </c>
      <c r="G710" s="1">
        <v>0.73</v>
      </c>
      <c r="H710" s="3">
        <v>2047056</v>
      </c>
      <c r="I710" s="2">
        <v>0</v>
      </c>
    </row>
    <row r="711" spans="1:9" x14ac:dyDescent="0.3">
      <c r="A711" s="4" t="s">
        <v>51</v>
      </c>
      <c r="B711" s="3">
        <v>2009</v>
      </c>
      <c r="C711" s="4" t="s">
        <v>84</v>
      </c>
      <c r="D711" s="4" t="s">
        <v>5</v>
      </c>
      <c r="E711" s="3">
        <v>4076</v>
      </c>
      <c r="F711" s="3">
        <f>Merge2[[#This Row],[Coverage]]*100</f>
        <v>76</v>
      </c>
      <c r="G711" s="1">
        <v>0.76</v>
      </c>
      <c r="H711" s="3">
        <v>2077394</v>
      </c>
      <c r="I711" s="2">
        <v>196.20736364887929</v>
      </c>
    </row>
    <row r="712" spans="1:9" x14ac:dyDescent="0.3">
      <c r="A712" s="4" t="s">
        <v>51</v>
      </c>
      <c r="B712" s="3">
        <v>2010</v>
      </c>
      <c r="C712" s="4" t="s">
        <v>84</v>
      </c>
      <c r="D712" s="4" t="s">
        <v>5</v>
      </c>
      <c r="E712" s="3">
        <v>3138</v>
      </c>
      <c r="F712" s="3">
        <f>Merge2[[#This Row],[Coverage]]*100</f>
        <v>75</v>
      </c>
      <c r="G712" s="1">
        <v>0.75</v>
      </c>
      <c r="H712" s="3">
        <v>2109811</v>
      </c>
      <c r="I712" s="2">
        <v>148.73370173916052</v>
      </c>
    </row>
    <row r="713" spans="1:9" x14ac:dyDescent="0.3">
      <c r="A713" s="4" t="s">
        <v>51</v>
      </c>
      <c r="B713" s="3">
        <v>2011</v>
      </c>
      <c r="C713" s="4" t="s">
        <v>84</v>
      </c>
      <c r="D713" s="4" t="s">
        <v>5</v>
      </c>
      <c r="E713" s="3">
        <v>79</v>
      </c>
      <c r="F713" s="3">
        <f>Merge2[[#This Row],[Coverage]]*100</f>
        <v>74</v>
      </c>
      <c r="G713" s="1">
        <v>0.74</v>
      </c>
      <c r="H713" s="3">
        <v>2146325</v>
      </c>
      <c r="I713" s="2">
        <v>3.6807100509009585</v>
      </c>
    </row>
    <row r="714" spans="1:9" x14ac:dyDescent="0.3">
      <c r="A714" s="4" t="s">
        <v>51</v>
      </c>
      <c r="B714" s="3">
        <v>2012</v>
      </c>
      <c r="C714" s="4" t="s">
        <v>84</v>
      </c>
      <c r="D714" s="4" t="s">
        <v>5</v>
      </c>
      <c r="E714" s="3">
        <v>86</v>
      </c>
      <c r="F714" s="3">
        <f>Merge2[[#This Row],[Coverage]]*100</f>
        <v>76</v>
      </c>
      <c r="G714" s="1">
        <v>0.76</v>
      </c>
      <c r="H714" s="3">
        <v>2194654</v>
      </c>
      <c r="I714" s="2">
        <v>3.9186131390187242</v>
      </c>
    </row>
    <row r="715" spans="1:9" x14ac:dyDescent="0.3">
      <c r="A715" s="4" t="s">
        <v>51</v>
      </c>
      <c r="B715" s="3">
        <v>2013</v>
      </c>
      <c r="C715" s="4" t="s">
        <v>84</v>
      </c>
      <c r="D715" s="4" t="s">
        <v>5</v>
      </c>
      <c r="E715" s="3">
        <v>1028</v>
      </c>
      <c r="F715" s="3">
        <f>Merge2[[#This Row],[Coverage]]*100</f>
        <v>82</v>
      </c>
      <c r="G715" s="1">
        <v>0.82</v>
      </c>
      <c r="H715" s="3">
        <v>2252508</v>
      </c>
      <c r="I715" s="2">
        <v>45.638017711812786</v>
      </c>
    </row>
    <row r="716" spans="1:9" x14ac:dyDescent="0.3">
      <c r="A716" s="4" t="s">
        <v>51</v>
      </c>
      <c r="B716" s="3">
        <v>2014</v>
      </c>
      <c r="C716" s="4" t="s">
        <v>84</v>
      </c>
      <c r="D716" s="4" t="s">
        <v>5</v>
      </c>
      <c r="E716" s="3">
        <v>477</v>
      </c>
      <c r="F716" s="3">
        <f>Merge2[[#This Row],[Coverage]]*100</f>
        <v>83</v>
      </c>
      <c r="G716" s="1">
        <v>0.83</v>
      </c>
      <c r="H716" s="3">
        <v>2312139</v>
      </c>
      <c r="I716" s="2">
        <v>20.630247575945909</v>
      </c>
    </row>
    <row r="717" spans="1:9" x14ac:dyDescent="0.3">
      <c r="A717" s="4" t="s">
        <v>51</v>
      </c>
      <c r="B717" s="3">
        <v>2015</v>
      </c>
      <c r="C717" s="4" t="s">
        <v>84</v>
      </c>
      <c r="D717" s="4" t="s">
        <v>5</v>
      </c>
      <c r="E717" s="3">
        <v>212</v>
      </c>
      <c r="F717" s="3">
        <f>Merge2[[#This Row],[Coverage]]*100</f>
        <v>85</v>
      </c>
      <c r="G717" s="1">
        <v>0.85</v>
      </c>
      <c r="H717" s="3">
        <v>2374300</v>
      </c>
      <c r="I717" s="2">
        <v>8.9289474792570438</v>
      </c>
    </row>
    <row r="718" spans="1:9" x14ac:dyDescent="0.3">
      <c r="A718" s="4" t="s">
        <v>51</v>
      </c>
      <c r="B718" s="3">
        <v>2016</v>
      </c>
      <c r="C718" s="4" t="s">
        <v>84</v>
      </c>
      <c r="D718" s="4" t="s">
        <v>5</v>
      </c>
      <c r="E718" s="3">
        <v>40</v>
      </c>
      <c r="F718" s="3">
        <f>Merge2[[#This Row],[Coverage]]*100</f>
        <v>75</v>
      </c>
      <c r="G718" s="1">
        <v>0.75</v>
      </c>
      <c r="H718" s="3">
        <v>2439213</v>
      </c>
      <c r="I718" s="2">
        <v>1.6398731886063251</v>
      </c>
    </row>
    <row r="719" spans="1:9" x14ac:dyDescent="0.3">
      <c r="A719" s="4" t="s">
        <v>51</v>
      </c>
      <c r="B719" s="3">
        <v>2017</v>
      </c>
      <c r="C719" s="4" t="s">
        <v>84</v>
      </c>
      <c r="D719" s="4" t="s">
        <v>5</v>
      </c>
      <c r="E719" s="3">
        <v>16</v>
      </c>
      <c r="F719" s="3">
        <f>Merge2[[#This Row],[Coverage]]*100</f>
        <v>80</v>
      </c>
      <c r="G719" s="1">
        <v>0.8</v>
      </c>
      <c r="H719" s="3">
        <v>2506853</v>
      </c>
      <c r="I719" s="2">
        <v>0.63825042792696662</v>
      </c>
    </row>
    <row r="720" spans="1:9" x14ac:dyDescent="0.3">
      <c r="A720" s="4" t="s">
        <v>51</v>
      </c>
      <c r="B720" s="3">
        <v>2018</v>
      </c>
      <c r="C720" s="4" t="s">
        <v>84</v>
      </c>
      <c r="D720" s="4" t="s">
        <v>5</v>
      </c>
      <c r="E720" s="3">
        <v>9</v>
      </c>
      <c r="F720" s="3">
        <f>Merge2[[#This Row],[Coverage]]*100</f>
        <v>82</v>
      </c>
      <c r="G720" s="1">
        <v>0.82</v>
      </c>
      <c r="H720" s="3">
        <v>2577327</v>
      </c>
      <c r="I720" s="2">
        <v>0.3491989957036884</v>
      </c>
    </row>
    <row r="721" spans="1:9" x14ac:dyDescent="0.3">
      <c r="A721" s="4" t="s">
        <v>51</v>
      </c>
      <c r="B721" s="3">
        <v>2019</v>
      </c>
      <c r="C721" s="4" t="s">
        <v>84</v>
      </c>
      <c r="D721" s="4" t="s">
        <v>5</v>
      </c>
      <c r="E721" s="3">
        <v>12</v>
      </c>
      <c r="F721" s="3">
        <f>Merge2[[#This Row],[Coverage]]*100</f>
        <v>80</v>
      </c>
      <c r="G721" s="1">
        <v>0.8</v>
      </c>
      <c r="H721" s="3">
        <v>2650494</v>
      </c>
      <c r="I721" s="2">
        <v>0.45274579003008497</v>
      </c>
    </row>
    <row r="722" spans="1:9" x14ac:dyDescent="0.3">
      <c r="A722" s="4" t="s">
        <v>51</v>
      </c>
      <c r="B722" s="3">
        <v>2020</v>
      </c>
      <c r="C722" s="4" t="s">
        <v>84</v>
      </c>
      <c r="D722" s="4" t="s">
        <v>5</v>
      </c>
      <c r="E722" s="3">
        <v>5</v>
      </c>
      <c r="F722" s="3">
        <f>Merge2[[#This Row],[Coverage]]*100</f>
        <v>90</v>
      </c>
      <c r="G722" s="1">
        <v>0.9</v>
      </c>
      <c r="H722" s="3">
        <v>2728762</v>
      </c>
      <c r="I722" s="2">
        <v>0.18323327574922255</v>
      </c>
    </row>
    <row r="723" spans="1:9" x14ac:dyDescent="0.3">
      <c r="A723" s="4" t="s">
        <v>51</v>
      </c>
      <c r="B723" s="3">
        <v>2021</v>
      </c>
      <c r="C723" s="4" t="s">
        <v>84</v>
      </c>
      <c r="D723" s="4" t="s">
        <v>5</v>
      </c>
      <c r="E723" s="3">
        <v>4</v>
      </c>
      <c r="F723" s="3">
        <f>Merge2[[#This Row],[Coverage]]*100</f>
        <v>91</v>
      </c>
      <c r="G723" s="1">
        <v>0.91</v>
      </c>
      <c r="H723" s="3">
        <v>2810548</v>
      </c>
      <c r="I723" s="2">
        <v>0.14232099932112882</v>
      </c>
    </row>
    <row r="724" spans="1:9" x14ac:dyDescent="0.3">
      <c r="A724" s="4" t="s">
        <v>51</v>
      </c>
      <c r="B724" s="3">
        <v>2022</v>
      </c>
      <c r="C724" s="4" t="s">
        <v>84</v>
      </c>
      <c r="D724" s="4" t="s">
        <v>5</v>
      </c>
      <c r="E724" s="3">
        <v>31</v>
      </c>
      <c r="F724" s="3">
        <f>Merge2[[#This Row],[Coverage]]*100</f>
        <v>89</v>
      </c>
      <c r="G724" s="1">
        <v>0.89</v>
      </c>
      <c r="H724" s="3">
        <v>2889662</v>
      </c>
      <c r="I724" s="2">
        <v>1.0727898280144876</v>
      </c>
    </row>
    <row r="725" spans="1:9" x14ac:dyDescent="0.3">
      <c r="A725" s="4" t="s">
        <v>51</v>
      </c>
      <c r="B725" s="3">
        <v>2023</v>
      </c>
      <c r="C725" s="4" t="s">
        <v>84</v>
      </c>
      <c r="D725" s="4" t="s">
        <v>5</v>
      </c>
      <c r="E725" s="3">
        <v>42</v>
      </c>
      <c r="F725" s="3">
        <f>Merge2[[#This Row],[Coverage]]*100</f>
        <v>86</v>
      </c>
      <c r="G725" s="1">
        <v>0.86</v>
      </c>
      <c r="H725" s="3">
        <v>2963095</v>
      </c>
      <c r="I725" s="2">
        <v>1.4174368354710194</v>
      </c>
    </row>
    <row r="726" spans="1:9" x14ac:dyDescent="0.3">
      <c r="A726" s="4" t="s">
        <v>51</v>
      </c>
      <c r="B726" s="3">
        <v>2024</v>
      </c>
      <c r="C726" s="4" t="s">
        <v>84</v>
      </c>
      <c r="D726" s="4" t="s">
        <v>5</v>
      </c>
      <c r="E726" s="3">
        <v>15</v>
      </c>
      <c r="F726" s="3">
        <f>Merge2[[#This Row],[Coverage]]*100</f>
        <v>79</v>
      </c>
      <c r="G726" s="1">
        <v>0.79</v>
      </c>
      <c r="H726" s="3">
        <v>3030131</v>
      </c>
      <c r="I726" s="2">
        <v>0.49502810274539288</v>
      </c>
    </row>
    <row r="727" spans="1:9" x14ac:dyDescent="0.3">
      <c r="A727" s="4" t="s">
        <v>52</v>
      </c>
      <c r="B727" s="3">
        <v>2000</v>
      </c>
      <c r="C727" s="4" t="s">
        <v>85</v>
      </c>
      <c r="D727" s="4" t="s">
        <v>5</v>
      </c>
      <c r="E727" s="3">
        <v>21319</v>
      </c>
      <c r="F727" s="3">
        <f>Merge2[[#This Row],[Coverage]]*100</f>
        <v>37</v>
      </c>
      <c r="G727" s="1">
        <v>0.37</v>
      </c>
      <c r="H727" s="3">
        <v>11509630</v>
      </c>
      <c r="I727" s="2">
        <v>185.22750079715854</v>
      </c>
    </row>
    <row r="728" spans="1:9" x14ac:dyDescent="0.3">
      <c r="A728" s="4" t="s">
        <v>52</v>
      </c>
      <c r="B728" s="3">
        <v>2001</v>
      </c>
      <c r="C728" s="4" t="s">
        <v>85</v>
      </c>
      <c r="D728" s="4" t="s">
        <v>5</v>
      </c>
      <c r="E728" s="3">
        <v>61208</v>
      </c>
      <c r="F728" s="3">
        <f>Merge2[[#This Row],[Coverage]]*100</f>
        <v>39</v>
      </c>
      <c r="G728" s="1">
        <v>0.39</v>
      </c>
      <c r="H728" s="3">
        <v>11920647</v>
      </c>
      <c r="I728" s="2">
        <v>513.46206292326247</v>
      </c>
    </row>
    <row r="729" spans="1:9" x14ac:dyDescent="0.3">
      <c r="A729" s="4" t="s">
        <v>52</v>
      </c>
      <c r="B729" s="3">
        <v>2002</v>
      </c>
      <c r="C729" s="4" t="s">
        <v>85</v>
      </c>
      <c r="D729" s="4" t="s">
        <v>5</v>
      </c>
      <c r="E729" s="3">
        <v>31584</v>
      </c>
      <c r="F729" s="3">
        <f>Merge2[[#This Row],[Coverage]]*100</f>
        <v>41</v>
      </c>
      <c r="G729" s="1">
        <v>0.41</v>
      </c>
      <c r="H729" s="3">
        <v>12349144</v>
      </c>
      <c r="I729" s="2">
        <v>255.75861776330407</v>
      </c>
    </row>
    <row r="730" spans="1:9" x14ac:dyDescent="0.3">
      <c r="A730" s="4" t="s">
        <v>52</v>
      </c>
      <c r="B730" s="3">
        <v>2003</v>
      </c>
      <c r="C730" s="4" t="s">
        <v>85</v>
      </c>
      <c r="D730" s="4" t="s">
        <v>5</v>
      </c>
      <c r="E730" s="3">
        <v>54190</v>
      </c>
      <c r="F730" s="3">
        <f>Merge2[[#This Row],[Coverage]]*100</f>
        <v>43</v>
      </c>
      <c r="G730" s="1">
        <v>0.43</v>
      </c>
      <c r="H730" s="3">
        <v>12796984</v>
      </c>
      <c r="I730" s="2">
        <v>423.45915256282262</v>
      </c>
    </row>
    <row r="731" spans="1:9" x14ac:dyDescent="0.3">
      <c r="A731" s="4" t="s">
        <v>52</v>
      </c>
      <c r="B731" s="3">
        <v>2004</v>
      </c>
      <c r="C731" s="4" t="s">
        <v>85</v>
      </c>
      <c r="D731" s="4" t="s">
        <v>5</v>
      </c>
      <c r="E731" s="3">
        <v>63057</v>
      </c>
      <c r="F731" s="3">
        <f>Merge2[[#This Row],[Coverage]]*100</f>
        <v>45</v>
      </c>
      <c r="G731" s="1">
        <v>0.45</v>
      </c>
      <c r="H731" s="3">
        <v>13265836</v>
      </c>
      <c r="I731" s="2">
        <v>475.3337822056597</v>
      </c>
    </row>
    <row r="732" spans="1:9" x14ac:dyDescent="0.3">
      <c r="A732" s="4" t="s">
        <v>52</v>
      </c>
      <c r="B732" s="3">
        <v>2005</v>
      </c>
      <c r="C732" s="4" t="s">
        <v>85</v>
      </c>
      <c r="D732" s="4" t="s">
        <v>5</v>
      </c>
      <c r="E732" s="3">
        <v>2183</v>
      </c>
      <c r="F732" s="3">
        <f>Merge2[[#This Row],[Coverage]]*100</f>
        <v>47</v>
      </c>
      <c r="G732" s="1">
        <v>0.47</v>
      </c>
      <c r="H732" s="3">
        <v>13756192</v>
      </c>
      <c r="I732" s="2">
        <v>15.869217295018853</v>
      </c>
    </row>
    <row r="733" spans="1:9" x14ac:dyDescent="0.3">
      <c r="A733" s="4" t="s">
        <v>52</v>
      </c>
      <c r="B733" s="3">
        <v>2006</v>
      </c>
      <c r="C733" s="4" t="s">
        <v>85</v>
      </c>
      <c r="D733" s="4" t="s">
        <v>5</v>
      </c>
      <c r="E733" s="3">
        <v>59</v>
      </c>
      <c r="F733" s="3">
        <f>Merge2[[#This Row],[Coverage]]*100</f>
        <v>53</v>
      </c>
      <c r="G733" s="1">
        <v>0.53</v>
      </c>
      <c r="H733" s="3">
        <v>14268581</v>
      </c>
      <c r="I733" s="2">
        <v>0.41349591805940622</v>
      </c>
    </row>
    <row r="734" spans="1:9" x14ac:dyDescent="0.3">
      <c r="A734" s="4" t="s">
        <v>52</v>
      </c>
      <c r="B734" s="3">
        <v>2007</v>
      </c>
      <c r="C734" s="4" t="s">
        <v>85</v>
      </c>
      <c r="D734" s="4" t="s">
        <v>5</v>
      </c>
      <c r="E734" s="3">
        <v>282</v>
      </c>
      <c r="F734" s="3">
        <f>Merge2[[#This Row],[Coverage]]*100</f>
        <v>60</v>
      </c>
      <c r="G734" s="1">
        <v>0.6</v>
      </c>
      <c r="H734" s="3">
        <v>14803610</v>
      </c>
      <c r="I734" s="2">
        <v>1.9049407543160082</v>
      </c>
    </row>
    <row r="735" spans="1:9" x14ac:dyDescent="0.3">
      <c r="A735" s="4" t="s">
        <v>52</v>
      </c>
      <c r="B735" s="3">
        <v>2008</v>
      </c>
      <c r="C735" s="4" t="s">
        <v>85</v>
      </c>
      <c r="D735" s="4" t="s">
        <v>5</v>
      </c>
      <c r="E735" s="3">
        <v>1317</v>
      </c>
      <c r="F735" s="3">
        <f>Merge2[[#This Row],[Coverage]]*100</f>
        <v>66</v>
      </c>
      <c r="G735" s="1">
        <v>0.66</v>
      </c>
      <c r="H735" s="3">
        <v>15361915</v>
      </c>
      <c r="I735" s="2">
        <v>8.5731498970017732</v>
      </c>
    </row>
    <row r="736" spans="1:9" x14ac:dyDescent="0.3">
      <c r="A736" s="4" t="s">
        <v>52</v>
      </c>
      <c r="B736" s="3">
        <v>2009</v>
      </c>
      <c r="C736" s="4" t="s">
        <v>85</v>
      </c>
      <c r="D736" s="4" t="s">
        <v>5</v>
      </c>
      <c r="E736" s="3">
        <v>801</v>
      </c>
      <c r="F736" s="3">
        <f>Merge2[[#This Row],[Coverage]]*100</f>
        <v>69</v>
      </c>
      <c r="G736" s="1">
        <v>0.69</v>
      </c>
      <c r="H736" s="3">
        <v>15943675</v>
      </c>
      <c r="I736" s="2">
        <v>5.0239358240807093</v>
      </c>
    </row>
    <row r="737" spans="1:9" x14ac:dyDescent="0.3">
      <c r="A737" s="4" t="s">
        <v>52</v>
      </c>
      <c r="B737" s="3">
        <v>2010</v>
      </c>
      <c r="C737" s="4" t="s">
        <v>85</v>
      </c>
      <c r="D737" s="4" t="s">
        <v>5</v>
      </c>
      <c r="E737" s="3">
        <v>372</v>
      </c>
      <c r="F737" s="3">
        <f>Merge2[[#This Row],[Coverage]]*100</f>
        <v>67</v>
      </c>
      <c r="G737" s="1">
        <v>0.67</v>
      </c>
      <c r="H737" s="3">
        <v>16548835</v>
      </c>
      <c r="I737" s="2">
        <v>2.2478923742970425</v>
      </c>
    </row>
    <row r="738" spans="1:9" x14ac:dyDescent="0.3">
      <c r="A738" s="4" t="s">
        <v>52</v>
      </c>
      <c r="B738" s="3">
        <v>2011</v>
      </c>
      <c r="C738" s="4" t="s">
        <v>85</v>
      </c>
      <c r="D738" s="4" t="s">
        <v>5</v>
      </c>
      <c r="E738" s="3">
        <v>771</v>
      </c>
      <c r="F738" s="3">
        <f>Merge2[[#This Row],[Coverage]]*100</f>
        <v>69</v>
      </c>
      <c r="G738" s="1">
        <v>0.69</v>
      </c>
      <c r="H738" s="3">
        <v>17176283</v>
      </c>
      <c r="I738" s="2">
        <v>4.4887476527954275</v>
      </c>
    </row>
    <row r="739" spans="1:9" x14ac:dyDescent="0.3">
      <c r="A739" s="4" t="s">
        <v>52</v>
      </c>
      <c r="B739" s="3">
        <v>2012</v>
      </c>
      <c r="C739" s="4" t="s">
        <v>85</v>
      </c>
      <c r="D739" s="4" t="s">
        <v>5</v>
      </c>
      <c r="E739" s="3">
        <v>272</v>
      </c>
      <c r="F739" s="3">
        <f>Merge2[[#This Row],[Coverage]]*100</f>
        <v>75</v>
      </c>
      <c r="G739" s="1">
        <v>0.75</v>
      </c>
      <c r="H739" s="3">
        <v>17836769</v>
      </c>
      <c r="I739" s="2">
        <v>1.5249398587827201</v>
      </c>
    </row>
    <row r="740" spans="1:9" x14ac:dyDescent="0.3">
      <c r="A740" s="4" t="s">
        <v>52</v>
      </c>
      <c r="B740" s="3">
        <v>2013</v>
      </c>
      <c r="C740" s="4" t="s">
        <v>85</v>
      </c>
      <c r="D740" s="4" t="s">
        <v>5</v>
      </c>
      <c r="E740" s="3">
        <v>1224</v>
      </c>
      <c r="F740" s="3">
        <f>Merge2[[#This Row],[Coverage]]*100</f>
        <v>80</v>
      </c>
      <c r="G740" s="1">
        <v>0.8</v>
      </c>
      <c r="H740" s="3">
        <v>18519898</v>
      </c>
      <c r="I740" s="2">
        <v>6.6091076743511215</v>
      </c>
    </row>
    <row r="741" spans="1:9" x14ac:dyDescent="0.3">
      <c r="A741" s="4" t="s">
        <v>52</v>
      </c>
      <c r="B741" s="3">
        <v>2014</v>
      </c>
      <c r="C741" s="4" t="s">
        <v>85</v>
      </c>
      <c r="D741" s="4" t="s">
        <v>5</v>
      </c>
      <c r="E741" s="3">
        <v>1142</v>
      </c>
      <c r="F741" s="3">
        <f>Merge2[[#This Row],[Coverage]]*100</f>
        <v>80</v>
      </c>
      <c r="G741" s="1">
        <v>0.8</v>
      </c>
      <c r="H741" s="3">
        <v>19215909</v>
      </c>
      <c r="I741" s="2">
        <v>5.942992340357149</v>
      </c>
    </row>
    <row r="742" spans="1:9" x14ac:dyDescent="0.3">
      <c r="A742" s="4" t="s">
        <v>52</v>
      </c>
      <c r="B742" s="3">
        <v>2015</v>
      </c>
      <c r="C742" s="4" t="s">
        <v>85</v>
      </c>
      <c r="D742" s="4" t="s">
        <v>5</v>
      </c>
      <c r="E742" s="3">
        <v>7693</v>
      </c>
      <c r="F742" s="3">
        <f>Merge2[[#This Row],[Coverage]]*100</f>
        <v>85</v>
      </c>
      <c r="G742" s="1">
        <v>0.85</v>
      </c>
      <c r="H742" s="3">
        <v>19939498</v>
      </c>
      <c r="I742" s="2">
        <v>38.581713541634798</v>
      </c>
    </row>
    <row r="743" spans="1:9" x14ac:dyDescent="0.3">
      <c r="A743" s="4" t="s">
        <v>52</v>
      </c>
      <c r="B743" s="3">
        <v>2016</v>
      </c>
      <c r="C743" s="4" t="s">
        <v>85</v>
      </c>
      <c r="D743" s="4" t="s">
        <v>5</v>
      </c>
      <c r="E743" s="3">
        <v>776</v>
      </c>
      <c r="F743" s="3">
        <f>Merge2[[#This Row],[Coverage]]*100</f>
        <v>76</v>
      </c>
      <c r="G743" s="1">
        <v>0.76</v>
      </c>
      <c r="H743" s="3">
        <v>20685753</v>
      </c>
      <c r="I743" s="2">
        <v>3.7513741945966386</v>
      </c>
    </row>
    <row r="744" spans="1:9" x14ac:dyDescent="0.3">
      <c r="A744" s="4" t="s">
        <v>52</v>
      </c>
      <c r="B744" s="3">
        <v>2017</v>
      </c>
      <c r="C744" s="4" t="s">
        <v>85</v>
      </c>
      <c r="D744" s="4" t="s">
        <v>5</v>
      </c>
      <c r="E744" s="3">
        <v>1171</v>
      </c>
      <c r="F744" s="3">
        <f>Merge2[[#This Row],[Coverage]]*100</f>
        <v>82</v>
      </c>
      <c r="G744" s="1">
        <v>0.82</v>
      </c>
      <c r="H744" s="3">
        <v>21435446</v>
      </c>
      <c r="I744" s="2">
        <v>5.4629140909874234</v>
      </c>
    </row>
    <row r="745" spans="1:9" x14ac:dyDescent="0.3">
      <c r="A745" s="4" t="s">
        <v>52</v>
      </c>
      <c r="B745" s="3">
        <v>2018</v>
      </c>
      <c r="C745" s="4" t="s">
        <v>85</v>
      </c>
      <c r="D745" s="4" t="s">
        <v>5</v>
      </c>
      <c r="E745" s="3">
        <v>5034</v>
      </c>
      <c r="F745" s="3">
        <f>Merge2[[#This Row],[Coverage]]*100</f>
        <v>77</v>
      </c>
      <c r="G745" s="1">
        <v>0.77</v>
      </c>
      <c r="H745" s="3">
        <v>22188069</v>
      </c>
      <c r="I745" s="2">
        <v>22.687868872230386</v>
      </c>
    </row>
    <row r="746" spans="1:9" x14ac:dyDescent="0.3">
      <c r="A746" s="4" t="s">
        <v>52</v>
      </c>
      <c r="B746" s="3">
        <v>2019</v>
      </c>
      <c r="C746" s="4" t="s">
        <v>85</v>
      </c>
      <c r="D746" s="4" t="s">
        <v>5</v>
      </c>
      <c r="E746" s="3">
        <v>10321</v>
      </c>
      <c r="F746" s="3">
        <f>Merge2[[#This Row],[Coverage]]*100</f>
        <v>79</v>
      </c>
      <c r="G746" s="1">
        <v>0.79</v>
      </c>
      <c r="H746" s="3">
        <v>22947757</v>
      </c>
      <c r="I746" s="2">
        <v>44.976073260667697</v>
      </c>
    </row>
    <row r="747" spans="1:9" x14ac:dyDescent="0.3">
      <c r="A747" s="4" t="s">
        <v>52</v>
      </c>
      <c r="B747" s="3">
        <v>2020</v>
      </c>
      <c r="C747" s="4" t="s">
        <v>85</v>
      </c>
      <c r="D747" s="4" t="s">
        <v>5</v>
      </c>
      <c r="E747" s="3">
        <v>2754</v>
      </c>
      <c r="F747" s="3">
        <f>Merge2[[#This Row],[Coverage]]*100</f>
        <v>79</v>
      </c>
      <c r="G747" s="1">
        <v>0.79</v>
      </c>
      <c r="H747" s="3">
        <v>23717613</v>
      </c>
      <c r="I747" s="2">
        <v>11.611623817287178</v>
      </c>
    </row>
    <row r="748" spans="1:9" x14ac:dyDescent="0.3">
      <c r="A748" s="4" t="s">
        <v>52</v>
      </c>
      <c r="B748" s="3">
        <v>2021</v>
      </c>
      <c r="C748" s="4" t="s">
        <v>85</v>
      </c>
      <c r="D748" s="4" t="s">
        <v>5</v>
      </c>
      <c r="E748" s="3">
        <v>9271</v>
      </c>
      <c r="F748" s="3">
        <f>Merge2[[#This Row],[Coverage]]*100</f>
        <v>80</v>
      </c>
      <c r="G748" s="1">
        <v>0.8</v>
      </c>
      <c r="H748" s="3">
        <v>24502140</v>
      </c>
      <c r="I748" s="2">
        <v>37.837511335744551</v>
      </c>
    </row>
    <row r="749" spans="1:9" x14ac:dyDescent="0.3">
      <c r="A749" s="4" t="s">
        <v>52</v>
      </c>
      <c r="B749" s="3">
        <v>2022</v>
      </c>
      <c r="C749" s="4" t="s">
        <v>85</v>
      </c>
      <c r="D749" s="4" t="s">
        <v>5</v>
      </c>
      <c r="E749" s="3">
        <v>12898</v>
      </c>
      <c r="F749" s="3">
        <f>Merge2[[#This Row],[Coverage]]*100</f>
        <v>65</v>
      </c>
      <c r="G749" s="1">
        <v>0.65</v>
      </c>
      <c r="H749" s="3">
        <v>25311973</v>
      </c>
      <c r="I749" s="2">
        <v>50.956122622286301</v>
      </c>
    </row>
    <row r="750" spans="1:9" x14ac:dyDescent="0.3">
      <c r="A750" s="4" t="s">
        <v>52</v>
      </c>
      <c r="B750" s="3">
        <v>2023</v>
      </c>
      <c r="C750" s="4" t="s">
        <v>85</v>
      </c>
      <c r="D750" s="4" t="s">
        <v>5</v>
      </c>
      <c r="E750" s="3">
        <v>1708</v>
      </c>
      <c r="F750" s="3">
        <f>Merge2[[#This Row],[Coverage]]*100</f>
        <v>80</v>
      </c>
      <c r="G750" s="1">
        <v>0.8</v>
      </c>
      <c r="H750" s="3">
        <v>26159867</v>
      </c>
      <c r="I750" s="2">
        <v>6.5290851822755824</v>
      </c>
    </row>
    <row r="751" spans="1:9" x14ac:dyDescent="0.3">
      <c r="A751" s="4" t="s">
        <v>52</v>
      </c>
      <c r="B751" s="3">
        <v>2024</v>
      </c>
      <c r="C751" s="4" t="s">
        <v>85</v>
      </c>
      <c r="D751" s="4" t="s">
        <v>5</v>
      </c>
      <c r="E751" s="3">
        <v>2362</v>
      </c>
      <c r="F751" s="3">
        <f>Merge2[[#This Row],[Coverage]]*100</f>
        <v>81</v>
      </c>
      <c r="G751" s="1">
        <v>0.81</v>
      </c>
      <c r="H751" s="3">
        <v>27032412</v>
      </c>
      <c r="I751" s="2">
        <v>8.7376590738554878</v>
      </c>
    </row>
    <row r="752" spans="1:9" x14ac:dyDescent="0.3">
      <c r="A752" s="4" t="s">
        <v>53</v>
      </c>
      <c r="B752" s="3">
        <v>2000</v>
      </c>
      <c r="C752" s="4" t="s">
        <v>86</v>
      </c>
      <c r="D752" s="4" t="s">
        <v>5</v>
      </c>
      <c r="E752" s="3">
        <v>212183</v>
      </c>
      <c r="F752" s="3">
        <f>Merge2[[#This Row],[Coverage]]*100</f>
        <v>33</v>
      </c>
      <c r="G752" s="1">
        <v>0.33</v>
      </c>
      <c r="H752" s="3">
        <v>126382494</v>
      </c>
      <c r="I752" s="2">
        <v>167.88954963968348</v>
      </c>
    </row>
    <row r="753" spans="1:9" x14ac:dyDescent="0.3">
      <c r="A753" s="4" t="s">
        <v>53</v>
      </c>
      <c r="B753" s="3">
        <v>2001</v>
      </c>
      <c r="C753" s="4" t="s">
        <v>86</v>
      </c>
      <c r="D753" s="4" t="s">
        <v>5</v>
      </c>
      <c r="E753" s="3">
        <v>168107</v>
      </c>
      <c r="F753" s="3">
        <f>Merge2[[#This Row],[Coverage]]*100</f>
        <v>32</v>
      </c>
      <c r="G753" s="1">
        <v>0.32</v>
      </c>
      <c r="H753" s="3">
        <v>129862595</v>
      </c>
      <c r="I753" s="2">
        <v>129.44990048905152</v>
      </c>
    </row>
    <row r="754" spans="1:9" x14ac:dyDescent="0.3">
      <c r="A754" s="4" t="s">
        <v>53</v>
      </c>
      <c r="B754" s="3">
        <v>2002</v>
      </c>
      <c r="C754" s="4" t="s">
        <v>86</v>
      </c>
      <c r="D754" s="4" t="s">
        <v>5</v>
      </c>
      <c r="E754" s="3">
        <v>42007</v>
      </c>
      <c r="F754" s="3">
        <f>Merge2[[#This Row],[Coverage]]*100</f>
        <v>30</v>
      </c>
      <c r="G754" s="1">
        <v>0.3</v>
      </c>
      <c r="H754" s="3">
        <v>133471989</v>
      </c>
      <c r="I754" s="2">
        <v>31.472521174461559</v>
      </c>
    </row>
    <row r="755" spans="1:9" x14ac:dyDescent="0.3">
      <c r="A755" s="4" t="s">
        <v>53</v>
      </c>
      <c r="B755" s="3">
        <v>2003</v>
      </c>
      <c r="C755" s="4" t="s">
        <v>86</v>
      </c>
      <c r="D755" s="4" t="s">
        <v>5</v>
      </c>
      <c r="E755" s="3">
        <v>141258</v>
      </c>
      <c r="F755" s="3">
        <f>Merge2[[#This Row],[Coverage]]*100</f>
        <v>34</v>
      </c>
      <c r="G755" s="1">
        <v>0.34</v>
      </c>
      <c r="H755" s="3">
        <v>137202644</v>
      </c>
      <c r="I755" s="2">
        <v>102.95574187331258</v>
      </c>
    </row>
    <row r="756" spans="1:9" x14ac:dyDescent="0.3">
      <c r="A756" s="4" t="s">
        <v>53</v>
      </c>
      <c r="B756" s="3">
        <v>2004</v>
      </c>
      <c r="C756" s="4" t="s">
        <v>86</v>
      </c>
      <c r="D756" s="4" t="s">
        <v>5</v>
      </c>
      <c r="E756" s="3">
        <v>31521</v>
      </c>
      <c r="F756" s="3">
        <f>Merge2[[#This Row],[Coverage]]*100</f>
        <v>37</v>
      </c>
      <c r="G756" s="1">
        <v>0.37</v>
      </c>
      <c r="H756" s="3">
        <v>141057045</v>
      </c>
      <c r="I756" s="2">
        <v>22.346278415232646</v>
      </c>
    </row>
    <row r="757" spans="1:9" x14ac:dyDescent="0.3">
      <c r="A757" s="4" t="s">
        <v>53</v>
      </c>
      <c r="B757" s="3">
        <v>2005</v>
      </c>
      <c r="C757" s="4" t="s">
        <v>86</v>
      </c>
      <c r="D757" s="4" t="s">
        <v>5</v>
      </c>
      <c r="E757" s="3">
        <v>110927</v>
      </c>
      <c r="F757" s="3">
        <f>Merge2[[#This Row],[Coverage]]*100</f>
        <v>41</v>
      </c>
      <c r="G757" s="1">
        <v>0.41</v>
      </c>
      <c r="H757" s="3">
        <v>145017253</v>
      </c>
      <c r="I757" s="2">
        <v>76.4922777843544</v>
      </c>
    </row>
    <row r="758" spans="1:9" x14ac:dyDescent="0.3">
      <c r="A758" s="4" t="s">
        <v>53</v>
      </c>
      <c r="B758" s="3">
        <v>2006</v>
      </c>
      <c r="C758" s="4" t="s">
        <v>86</v>
      </c>
      <c r="D758" s="4" t="s">
        <v>5</v>
      </c>
      <c r="E758" s="3">
        <v>704</v>
      </c>
      <c r="F758" s="3">
        <f>Merge2[[#This Row],[Coverage]]*100</f>
        <v>44</v>
      </c>
      <c r="G758" s="1">
        <v>0.44</v>
      </c>
      <c r="H758" s="3">
        <v>149077334</v>
      </c>
      <c r="I758" s="2">
        <v>0.4722381203838808</v>
      </c>
    </row>
    <row r="759" spans="1:9" x14ac:dyDescent="0.3">
      <c r="A759" s="4" t="s">
        <v>53</v>
      </c>
      <c r="B759" s="3">
        <v>2007</v>
      </c>
      <c r="C759" s="4" t="s">
        <v>86</v>
      </c>
      <c r="D759" s="4" t="s">
        <v>5</v>
      </c>
      <c r="E759" s="3">
        <v>2613</v>
      </c>
      <c r="F759" s="3">
        <f>Merge2[[#This Row],[Coverage]]*100</f>
        <v>41</v>
      </c>
      <c r="G759" s="1">
        <v>0.41</v>
      </c>
      <c r="H759" s="3">
        <v>153267261</v>
      </c>
      <c r="I759" s="2">
        <v>1.7048650722609311</v>
      </c>
    </row>
    <row r="760" spans="1:9" x14ac:dyDescent="0.3">
      <c r="A760" s="4" t="s">
        <v>53</v>
      </c>
      <c r="B760" s="3">
        <v>2008</v>
      </c>
      <c r="C760" s="4" t="s">
        <v>86</v>
      </c>
      <c r="D760" s="4" t="s">
        <v>5</v>
      </c>
      <c r="E760" s="3">
        <v>9960</v>
      </c>
      <c r="F760" s="3">
        <f>Merge2[[#This Row],[Coverage]]*100</f>
        <v>53</v>
      </c>
      <c r="G760" s="1">
        <v>0.53</v>
      </c>
      <c r="H760" s="3">
        <v>157595014</v>
      </c>
      <c r="I760" s="2">
        <v>6.3199969004095529</v>
      </c>
    </row>
    <row r="761" spans="1:9" x14ac:dyDescent="0.3">
      <c r="A761" s="4" t="s">
        <v>53</v>
      </c>
      <c r="B761" s="3">
        <v>2009</v>
      </c>
      <c r="C761" s="4" t="s">
        <v>86</v>
      </c>
      <c r="D761" s="4" t="s">
        <v>5</v>
      </c>
      <c r="E761" s="3">
        <v>1272</v>
      </c>
      <c r="F761" s="3">
        <f>Merge2[[#This Row],[Coverage]]*100</f>
        <v>64</v>
      </c>
      <c r="G761" s="1">
        <v>0.64</v>
      </c>
      <c r="H761" s="3">
        <v>162049464</v>
      </c>
      <c r="I761" s="2">
        <v>0.78494551515455802</v>
      </c>
    </row>
    <row r="762" spans="1:9" x14ac:dyDescent="0.3">
      <c r="A762" s="4" t="s">
        <v>53</v>
      </c>
      <c r="B762" s="3">
        <v>2010</v>
      </c>
      <c r="C762" s="4" t="s">
        <v>86</v>
      </c>
      <c r="D762" s="4" t="s">
        <v>5</v>
      </c>
      <c r="E762" s="3">
        <v>8491</v>
      </c>
      <c r="F762" s="3">
        <f>Merge2[[#This Row],[Coverage]]*100</f>
        <v>56.000000000000007</v>
      </c>
      <c r="G762" s="1">
        <v>0.56000000000000005</v>
      </c>
      <c r="H762" s="3">
        <v>166642886</v>
      </c>
      <c r="I762" s="2">
        <v>5.095327021640756</v>
      </c>
    </row>
    <row r="763" spans="1:9" x14ac:dyDescent="0.3">
      <c r="A763" s="4" t="s">
        <v>53</v>
      </c>
      <c r="B763" s="3">
        <v>2011</v>
      </c>
      <c r="C763" s="4" t="s">
        <v>86</v>
      </c>
      <c r="D763" s="4" t="s">
        <v>5</v>
      </c>
      <c r="E763" s="3">
        <v>18843</v>
      </c>
      <c r="F763" s="3">
        <f>Merge2[[#This Row],[Coverage]]*100</f>
        <v>53</v>
      </c>
      <c r="G763" s="1">
        <v>0.53</v>
      </c>
      <c r="H763" s="3">
        <v>171379598</v>
      </c>
      <c r="I763" s="2">
        <v>10.994891002136672</v>
      </c>
    </row>
    <row r="764" spans="1:9" x14ac:dyDescent="0.3">
      <c r="A764" s="4" t="s">
        <v>53</v>
      </c>
      <c r="B764" s="3">
        <v>2012</v>
      </c>
      <c r="C764" s="4" t="s">
        <v>86</v>
      </c>
      <c r="D764" s="4" t="s">
        <v>5</v>
      </c>
      <c r="E764" s="3">
        <v>6447</v>
      </c>
      <c r="F764" s="3">
        <f>Merge2[[#This Row],[Coverage]]*100</f>
        <v>41</v>
      </c>
      <c r="G764" s="1">
        <v>0.41</v>
      </c>
      <c r="H764" s="3">
        <v>176200625</v>
      </c>
      <c r="I764" s="2">
        <v>3.658897350676253</v>
      </c>
    </row>
    <row r="765" spans="1:9" x14ac:dyDescent="0.3">
      <c r="A765" s="4" t="s">
        <v>53</v>
      </c>
      <c r="B765" s="3">
        <v>2013</v>
      </c>
      <c r="C765" s="4" t="s">
        <v>86</v>
      </c>
      <c r="D765" s="4" t="s">
        <v>5</v>
      </c>
      <c r="E765" s="3">
        <v>52852</v>
      </c>
      <c r="F765" s="3">
        <f>Merge2[[#This Row],[Coverage]]*100</f>
        <v>42</v>
      </c>
      <c r="G765" s="1">
        <v>0.42</v>
      </c>
      <c r="H765" s="3">
        <v>181049443</v>
      </c>
      <c r="I765" s="2">
        <v>29.19202573851608</v>
      </c>
    </row>
    <row r="766" spans="1:9" x14ac:dyDescent="0.3">
      <c r="A766" s="4" t="s">
        <v>53</v>
      </c>
      <c r="B766" s="3">
        <v>2014</v>
      </c>
      <c r="C766" s="4" t="s">
        <v>86</v>
      </c>
      <c r="D766" s="4" t="s">
        <v>5</v>
      </c>
      <c r="E766" s="3">
        <v>6855</v>
      </c>
      <c r="F766" s="3">
        <f>Merge2[[#This Row],[Coverage]]*100</f>
        <v>42</v>
      </c>
      <c r="G766" s="1">
        <v>0.42</v>
      </c>
      <c r="H766" s="3">
        <v>185896915</v>
      </c>
      <c r="I766" s="2">
        <v>3.6875275740858853</v>
      </c>
    </row>
    <row r="767" spans="1:9" x14ac:dyDescent="0.3">
      <c r="A767" s="4" t="s">
        <v>53</v>
      </c>
      <c r="B767" s="3">
        <v>2015</v>
      </c>
      <c r="C767" s="4" t="s">
        <v>86</v>
      </c>
      <c r="D767" s="4" t="s">
        <v>5</v>
      </c>
      <c r="E767" s="3">
        <v>12423</v>
      </c>
      <c r="F767" s="3">
        <f>Merge2[[#This Row],[Coverage]]*100</f>
        <v>42</v>
      </c>
      <c r="G767" s="1">
        <v>0.42</v>
      </c>
      <c r="H767" s="3">
        <v>190671878</v>
      </c>
      <c r="I767" s="2">
        <v>6.5153813610625901</v>
      </c>
    </row>
    <row r="768" spans="1:9" x14ac:dyDescent="0.3">
      <c r="A768" s="4" t="s">
        <v>53</v>
      </c>
      <c r="B768" s="3">
        <v>2016</v>
      </c>
      <c r="C768" s="4" t="s">
        <v>86</v>
      </c>
      <c r="D768" s="4" t="s">
        <v>5</v>
      </c>
      <c r="E768" s="3">
        <v>17136</v>
      </c>
      <c r="F768" s="3">
        <f>Merge2[[#This Row],[Coverage]]*100</f>
        <v>48</v>
      </c>
      <c r="G768" s="1">
        <v>0.48</v>
      </c>
      <c r="H768" s="3">
        <v>195443700</v>
      </c>
      <c r="I768" s="2">
        <v>8.7677423217018511</v>
      </c>
    </row>
    <row r="769" spans="1:9" x14ac:dyDescent="0.3">
      <c r="A769" s="4" t="s">
        <v>53</v>
      </c>
      <c r="B769" s="3">
        <v>2017</v>
      </c>
      <c r="C769" s="4" t="s">
        <v>86</v>
      </c>
      <c r="D769" s="4" t="s">
        <v>5</v>
      </c>
      <c r="E769" s="3">
        <v>11190</v>
      </c>
      <c r="F769" s="3">
        <f>Merge2[[#This Row],[Coverage]]*100</f>
        <v>54</v>
      </c>
      <c r="G769" s="1">
        <v>0.54</v>
      </c>
      <c r="H769" s="3">
        <v>200254579</v>
      </c>
      <c r="I769" s="2">
        <v>5.5878872063145186</v>
      </c>
    </row>
    <row r="770" spans="1:9" x14ac:dyDescent="0.3">
      <c r="A770" s="4" t="s">
        <v>53</v>
      </c>
      <c r="B770" s="3">
        <v>2018</v>
      </c>
      <c r="C770" s="4" t="s">
        <v>86</v>
      </c>
      <c r="D770" s="4" t="s">
        <v>5</v>
      </c>
      <c r="E770" s="3">
        <v>7063</v>
      </c>
      <c r="F770" s="3">
        <f>Merge2[[#This Row],[Coverage]]*100</f>
        <v>56.000000000000007</v>
      </c>
      <c r="G770" s="1">
        <v>0.56000000000000005</v>
      </c>
      <c r="H770" s="3">
        <v>204938755</v>
      </c>
      <c r="I770" s="2">
        <v>3.4463954853243841</v>
      </c>
    </row>
    <row r="771" spans="1:9" x14ac:dyDescent="0.3">
      <c r="A771" s="4" t="s">
        <v>53</v>
      </c>
      <c r="B771" s="3">
        <v>2019</v>
      </c>
      <c r="C771" s="4" t="s">
        <v>86</v>
      </c>
      <c r="D771" s="4" t="s">
        <v>5</v>
      </c>
      <c r="E771" s="3">
        <v>28094</v>
      </c>
      <c r="F771" s="3">
        <f>Merge2[[#This Row],[Coverage]]*100</f>
        <v>57.999999999999993</v>
      </c>
      <c r="G771" s="1">
        <v>0.57999999999999996</v>
      </c>
      <c r="H771" s="3">
        <v>209485641</v>
      </c>
      <c r="I771" s="2">
        <v>13.410943044062863</v>
      </c>
    </row>
    <row r="772" spans="1:9" x14ac:dyDescent="0.3">
      <c r="A772" s="4" t="s">
        <v>53</v>
      </c>
      <c r="B772" s="3">
        <v>2020</v>
      </c>
      <c r="C772" s="4" t="s">
        <v>86</v>
      </c>
      <c r="D772" s="4" t="s">
        <v>5</v>
      </c>
      <c r="E772" s="3">
        <v>8877</v>
      </c>
      <c r="F772" s="3">
        <f>Merge2[[#This Row],[Coverage]]*100</f>
        <v>60</v>
      </c>
      <c r="G772" s="1">
        <v>0.6</v>
      </c>
      <c r="H772" s="3">
        <v>213996181</v>
      </c>
      <c r="I772" s="2">
        <v>4.1482048691326874</v>
      </c>
    </row>
    <row r="773" spans="1:9" x14ac:dyDescent="0.3">
      <c r="A773" s="4" t="s">
        <v>53</v>
      </c>
      <c r="B773" s="3">
        <v>2021</v>
      </c>
      <c r="C773" s="4" t="s">
        <v>86</v>
      </c>
      <c r="D773" s="4" t="s">
        <v>5</v>
      </c>
      <c r="E773" s="3">
        <v>10649</v>
      </c>
      <c r="F773" s="3">
        <f>Merge2[[#This Row],[Coverage]]*100</f>
        <v>56.000000000000007</v>
      </c>
      <c r="G773" s="1">
        <v>0.56000000000000005</v>
      </c>
      <c r="H773" s="3">
        <v>218529286</v>
      </c>
      <c r="I773" s="2">
        <v>4.8730310682477587</v>
      </c>
    </row>
    <row r="774" spans="1:9" x14ac:dyDescent="0.3">
      <c r="A774" s="4" t="s">
        <v>53</v>
      </c>
      <c r="B774" s="3">
        <v>2022</v>
      </c>
      <c r="C774" s="4" t="s">
        <v>86</v>
      </c>
      <c r="D774" s="4" t="s">
        <v>5</v>
      </c>
      <c r="E774" s="3">
        <v>23983</v>
      </c>
      <c r="F774" s="3">
        <f>Merge2[[#This Row],[Coverage]]*100</f>
        <v>51</v>
      </c>
      <c r="G774" s="1">
        <v>0.51</v>
      </c>
      <c r="H774" s="3">
        <v>223150896</v>
      </c>
      <c r="I774" s="2">
        <v>10.747436120534331</v>
      </c>
    </row>
    <row r="775" spans="1:9" x14ac:dyDescent="0.3">
      <c r="A775" s="4" t="s">
        <v>53</v>
      </c>
      <c r="B775" s="3">
        <v>2023</v>
      </c>
      <c r="C775" s="4" t="s">
        <v>86</v>
      </c>
      <c r="D775" s="4" t="s">
        <v>5</v>
      </c>
      <c r="E775" s="3">
        <v>20143</v>
      </c>
      <c r="F775" s="3">
        <f>Merge2[[#This Row],[Coverage]]*100</f>
        <v>54</v>
      </c>
      <c r="G775" s="1">
        <v>0.54</v>
      </c>
      <c r="H775" s="3">
        <v>227882945</v>
      </c>
      <c r="I775" s="2">
        <v>8.8391871537380737</v>
      </c>
    </row>
    <row r="776" spans="1:9" x14ac:dyDescent="0.3">
      <c r="A776" s="4" t="s">
        <v>53</v>
      </c>
      <c r="B776" s="3">
        <v>2024</v>
      </c>
      <c r="C776" s="4" t="s">
        <v>86</v>
      </c>
      <c r="D776" s="4" t="s">
        <v>5</v>
      </c>
      <c r="E776" s="3">
        <v>14999</v>
      </c>
      <c r="F776" s="3">
        <f>Merge2[[#This Row],[Coverage]]*100</f>
        <v>56.999999999999993</v>
      </c>
      <c r="G776" s="1">
        <v>0.56999999999999995</v>
      </c>
      <c r="H776" s="3">
        <v>232679478</v>
      </c>
      <c r="I776" s="2">
        <v>6.4462066568672629</v>
      </c>
    </row>
    <row r="777" spans="1:9" x14ac:dyDescent="0.3">
      <c r="A777" s="4" t="s">
        <v>54</v>
      </c>
      <c r="B777" s="3">
        <v>2000</v>
      </c>
      <c r="C777" s="4" t="s">
        <v>87</v>
      </c>
      <c r="D777" s="4" t="s">
        <v>5</v>
      </c>
      <c r="E777" s="3">
        <v>2095</v>
      </c>
      <c r="F777" s="3">
        <f>Merge2[[#This Row],[Coverage]]*100</f>
        <v>74</v>
      </c>
      <c r="G777" s="1">
        <v>0.74</v>
      </c>
      <c r="H777" s="3">
        <v>8213931</v>
      </c>
      <c r="I777" s="2">
        <v>25.505449217920141</v>
      </c>
    </row>
    <row r="778" spans="1:9" x14ac:dyDescent="0.3">
      <c r="A778" s="4" t="s">
        <v>54</v>
      </c>
      <c r="B778" s="3">
        <v>2001</v>
      </c>
      <c r="C778" s="4" t="s">
        <v>87</v>
      </c>
      <c r="D778" s="4" t="s">
        <v>5</v>
      </c>
      <c r="E778" s="3">
        <v>896</v>
      </c>
      <c r="F778" s="3">
        <f>Merge2[[#This Row],[Coverage]]*100</f>
        <v>69</v>
      </c>
      <c r="G778" s="1">
        <v>0.69</v>
      </c>
      <c r="H778" s="3">
        <v>8287094</v>
      </c>
      <c r="I778" s="2">
        <v>10.811992720246687</v>
      </c>
    </row>
    <row r="779" spans="1:9" x14ac:dyDescent="0.3">
      <c r="A779" s="4" t="s">
        <v>54</v>
      </c>
      <c r="B779" s="3">
        <v>2002</v>
      </c>
      <c r="C779" s="4" t="s">
        <v>87</v>
      </c>
      <c r="D779" s="4" t="s">
        <v>5</v>
      </c>
      <c r="E779" s="3">
        <v>2738</v>
      </c>
      <c r="F779" s="3">
        <f>Merge2[[#This Row],[Coverage]]*100</f>
        <v>69</v>
      </c>
      <c r="G779" s="1">
        <v>0.69</v>
      </c>
      <c r="H779" s="3">
        <v>8400180</v>
      </c>
      <c r="I779" s="2">
        <v>32.594539640817217</v>
      </c>
    </row>
    <row r="780" spans="1:9" x14ac:dyDescent="0.3">
      <c r="A780" s="4" t="s">
        <v>54</v>
      </c>
      <c r="B780" s="3">
        <v>2003</v>
      </c>
      <c r="C780" s="4" t="s">
        <v>87</v>
      </c>
      <c r="D780" s="4" t="s">
        <v>5</v>
      </c>
      <c r="E780" s="3">
        <v>1064</v>
      </c>
      <c r="F780" s="3">
        <f>Merge2[[#This Row],[Coverage]]*100</f>
        <v>90</v>
      </c>
      <c r="G780" s="1">
        <v>0.9</v>
      </c>
      <c r="H780" s="3">
        <v>8586875</v>
      </c>
      <c r="I780" s="2">
        <v>12.391003712060558</v>
      </c>
    </row>
    <row r="781" spans="1:9" x14ac:dyDescent="0.3">
      <c r="A781" s="4" t="s">
        <v>54</v>
      </c>
      <c r="B781" s="3">
        <v>2004</v>
      </c>
      <c r="C781" s="4" t="s">
        <v>87</v>
      </c>
      <c r="D781" s="4" t="s">
        <v>5</v>
      </c>
      <c r="E781" s="3">
        <v>386</v>
      </c>
      <c r="F781" s="3">
        <f>Merge2[[#This Row],[Coverage]]*100</f>
        <v>84</v>
      </c>
      <c r="G781" s="1">
        <v>0.84</v>
      </c>
      <c r="H781" s="3">
        <v>8816844</v>
      </c>
      <c r="I781" s="2">
        <v>4.3779837774151389</v>
      </c>
    </row>
    <row r="782" spans="1:9" x14ac:dyDescent="0.3">
      <c r="A782" s="4" t="s">
        <v>54</v>
      </c>
      <c r="B782" s="3">
        <v>2005</v>
      </c>
      <c r="C782" s="4" t="s">
        <v>87</v>
      </c>
      <c r="D782" s="4" t="s">
        <v>5</v>
      </c>
      <c r="E782" s="3">
        <v>129</v>
      </c>
      <c r="F782" s="3">
        <f>Merge2[[#This Row],[Coverage]]*100</f>
        <v>89</v>
      </c>
      <c r="G782" s="1">
        <v>0.89</v>
      </c>
      <c r="H782" s="3">
        <v>9054528</v>
      </c>
      <c r="I782" s="2">
        <v>1.4247015415933333</v>
      </c>
    </row>
    <row r="783" spans="1:9" x14ac:dyDescent="0.3">
      <c r="A783" s="4" t="s">
        <v>54</v>
      </c>
      <c r="B783" s="3">
        <v>2006</v>
      </c>
      <c r="C783" s="4" t="s">
        <v>87</v>
      </c>
      <c r="D783" s="4" t="s">
        <v>5</v>
      </c>
      <c r="E783" s="3">
        <v>494</v>
      </c>
      <c r="F783" s="3">
        <f>Merge2[[#This Row],[Coverage]]*100</f>
        <v>95</v>
      </c>
      <c r="G783" s="1">
        <v>0.95</v>
      </c>
      <c r="H783" s="3">
        <v>9299246</v>
      </c>
      <c r="I783" s="2">
        <v>5.3122586497873048</v>
      </c>
    </row>
    <row r="784" spans="1:9" x14ac:dyDescent="0.3">
      <c r="A784" s="4" t="s">
        <v>54</v>
      </c>
      <c r="B784" s="3">
        <v>2007</v>
      </c>
      <c r="C784" s="4" t="s">
        <v>87</v>
      </c>
      <c r="D784" s="4" t="s">
        <v>5</v>
      </c>
      <c r="E784" s="3">
        <v>26</v>
      </c>
      <c r="F784" s="3">
        <f>Merge2[[#This Row],[Coverage]]*100</f>
        <v>94</v>
      </c>
      <c r="G784" s="1">
        <v>0.94</v>
      </c>
      <c r="H784" s="3">
        <v>9549933</v>
      </c>
      <c r="I784" s="2">
        <v>0.27225321894928478</v>
      </c>
    </row>
    <row r="785" spans="1:9" x14ac:dyDescent="0.3">
      <c r="A785" s="4" t="s">
        <v>54</v>
      </c>
      <c r="B785" s="3">
        <v>2008</v>
      </c>
      <c r="C785" s="4" t="s">
        <v>87</v>
      </c>
      <c r="D785" s="4" t="s">
        <v>5</v>
      </c>
      <c r="E785" s="3">
        <v>6</v>
      </c>
      <c r="F785" s="3">
        <f>Merge2[[#This Row],[Coverage]]*100</f>
        <v>92</v>
      </c>
      <c r="G785" s="1">
        <v>0.92</v>
      </c>
      <c r="H785" s="3">
        <v>9804269</v>
      </c>
      <c r="I785" s="2">
        <v>6.1197831271255408E-2</v>
      </c>
    </row>
    <row r="786" spans="1:9" x14ac:dyDescent="0.3">
      <c r="A786" s="4" t="s">
        <v>54</v>
      </c>
      <c r="B786" s="3">
        <v>2009</v>
      </c>
      <c r="C786" s="4" t="s">
        <v>87</v>
      </c>
      <c r="D786" s="4" t="s">
        <v>5</v>
      </c>
      <c r="E786" s="3">
        <v>5</v>
      </c>
      <c r="F786" s="3">
        <f>Merge2[[#This Row],[Coverage]]*100</f>
        <v>95</v>
      </c>
      <c r="G786" s="1">
        <v>0.95</v>
      </c>
      <c r="H786" s="3">
        <v>10060432</v>
      </c>
      <c r="I786" s="2">
        <v>4.9699655044634271E-2</v>
      </c>
    </row>
    <row r="787" spans="1:9" x14ac:dyDescent="0.3">
      <c r="A787" s="4" t="s">
        <v>54</v>
      </c>
      <c r="B787" s="3">
        <v>2010</v>
      </c>
      <c r="C787" s="4" t="s">
        <v>87</v>
      </c>
      <c r="D787" s="4" t="s">
        <v>5</v>
      </c>
      <c r="E787" s="3">
        <v>121</v>
      </c>
      <c r="F787" s="3">
        <f>Merge2[[#This Row],[Coverage]]*100</f>
        <v>95</v>
      </c>
      <c r="G787" s="1">
        <v>0.95</v>
      </c>
      <c r="H787" s="3">
        <v>10317553</v>
      </c>
      <c r="I787" s="2">
        <v>1.1727586957876543</v>
      </c>
    </row>
    <row r="788" spans="1:9" x14ac:dyDescent="0.3">
      <c r="A788" s="4" t="s">
        <v>54</v>
      </c>
      <c r="B788" s="3">
        <v>2011</v>
      </c>
      <c r="C788" s="4" t="s">
        <v>87</v>
      </c>
      <c r="D788" s="4" t="s">
        <v>5</v>
      </c>
      <c r="E788" s="3">
        <v>31</v>
      </c>
      <c r="F788" s="3">
        <f>Merge2[[#This Row],[Coverage]]*100</f>
        <v>95</v>
      </c>
      <c r="G788" s="1">
        <v>0.95</v>
      </c>
      <c r="H788" s="3">
        <v>10573733</v>
      </c>
      <c r="I788" s="2">
        <v>0.29317933411029007</v>
      </c>
    </row>
    <row r="789" spans="1:9" x14ac:dyDescent="0.3">
      <c r="A789" s="4" t="s">
        <v>54</v>
      </c>
      <c r="B789" s="3">
        <v>2012</v>
      </c>
      <c r="C789" s="4" t="s">
        <v>87</v>
      </c>
      <c r="D789" s="4" t="s">
        <v>5</v>
      </c>
      <c r="E789" s="3">
        <v>75</v>
      </c>
      <c r="F789" s="3">
        <f>Merge2[[#This Row],[Coverage]]*100</f>
        <v>97</v>
      </c>
      <c r="G789" s="1">
        <v>0.97</v>
      </c>
      <c r="H789" s="3">
        <v>10829901</v>
      </c>
      <c r="I789" s="2">
        <v>0.69252710620346392</v>
      </c>
    </row>
    <row r="790" spans="1:9" x14ac:dyDescent="0.3">
      <c r="A790" s="4" t="s">
        <v>54</v>
      </c>
      <c r="B790" s="3">
        <v>2013</v>
      </c>
      <c r="C790" s="4" t="s">
        <v>87</v>
      </c>
      <c r="D790" s="4" t="s">
        <v>5</v>
      </c>
      <c r="E790" s="3">
        <v>17</v>
      </c>
      <c r="F790" s="3">
        <f>Merge2[[#This Row],[Coverage]]*100</f>
        <v>95</v>
      </c>
      <c r="G790" s="1">
        <v>0.95</v>
      </c>
      <c r="H790" s="3">
        <v>11093340</v>
      </c>
      <c r="I790" s="2">
        <v>0.15324510021328114</v>
      </c>
    </row>
    <row r="791" spans="1:9" x14ac:dyDescent="0.3">
      <c r="A791" s="4" t="s">
        <v>54</v>
      </c>
      <c r="B791" s="3">
        <v>2014</v>
      </c>
      <c r="C791" s="4" t="s">
        <v>87</v>
      </c>
      <c r="D791" s="4" t="s">
        <v>5</v>
      </c>
      <c r="E791" s="3">
        <v>10</v>
      </c>
      <c r="F791" s="3">
        <f>Merge2[[#This Row],[Coverage]]*100</f>
        <v>97</v>
      </c>
      <c r="G791" s="1">
        <v>0.97</v>
      </c>
      <c r="H791" s="3">
        <v>11364757</v>
      </c>
      <c r="I791" s="2">
        <v>8.7991322647725773E-2</v>
      </c>
    </row>
    <row r="792" spans="1:9" x14ac:dyDescent="0.3">
      <c r="A792" s="4" t="s">
        <v>54</v>
      </c>
      <c r="B792" s="3">
        <v>2015</v>
      </c>
      <c r="C792" s="4" t="s">
        <v>87</v>
      </c>
      <c r="D792" s="4" t="s">
        <v>5</v>
      </c>
      <c r="E792" s="3">
        <v>1</v>
      </c>
      <c r="F792" s="3">
        <f>Merge2[[#This Row],[Coverage]]*100</f>
        <v>96</v>
      </c>
      <c r="G792" s="1">
        <v>0.96</v>
      </c>
      <c r="H792" s="3">
        <v>11640022</v>
      </c>
      <c r="I792" s="2">
        <v>8.5910490547182819E-3</v>
      </c>
    </row>
    <row r="793" spans="1:9" x14ac:dyDescent="0.3">
      <c r="A793" s="4" t="s">
        <v>54</v>
      </c>
      <c r="B793" s="3">
        <v>2016</v>
      </c>
      <c r="C793" s="4" t="s">
        <v>87</v>
      </c>
      <c r="D793" s="4" t="s">
        <v>5</v>
      </c>
      <c r="E793" s="3">
        <v>95</v>
      </c>
      <c r="F793" s="3">
        <f>Merge2[[#This Row],[Coverage]]*100</f>
        <v>95</v>
      </c>
      <c r="G793" s="1">
        <v>0.95</v>
      </c>
      <c r="H793" s="3">
        <v>11919183</v>
      </c>
      <c r="I793" s="2">
        <v>0.79703449473004984</v>
      </c>
    </row>
    <row r="794" spans="1:9" x14ac:dyDescent="0.3">
      <c r="A794" s="4" t="s">
        <v>54</v>
      </c>
      <c r="B794" s="3">
        <v>2017</v>
      </c>
      <c r="C794" s="4" t="s">
        <v>87</v>
      </c>
      <c r="D794" s="4" t="s">
        <v>5</v>
      </c>
      <c r="E794" s="3">
        <v>145</v>
      </c>
      <c r="F794" s="3">
        <f>Merge2[[#This Row],[Coverage]]*100</f>
        <v>97</v>
      </c>
      <c r="G794" s="1">
        <v>0.97</v>
      </c>
      <c r="H794" s="3">
        <v>12202060</v>
      </c>
      <c r="I794" s="2">
        <v>1.1883239387447693</v>
      </c>
    </row>
    <row r="795" spans="1:9" x14ac:dyDescent="0.3">
      <c r="A795" s="4" t="s">
        <v>54</v>
      </c>
      <c r="B795" s="3">
        <v>2018</v>
      </c>
      <c r="C795" s="4" t="s">
        <v>87</v>
      </c>
      <c r="D795" s="4" t="s">
        <v>5</v>
      </c>
      <c r="E795" s="3">
        <v>229</v>
      </c>
      <c r="F795" s="3">
        <f>Merge2[[#This Row],[Coverage]]*100</f>
        <v>99</v>
      </c>
      <c r="G795" s="1">
        <v>0.99</v>
      </c>
      <c r="H795" s="3">
        <v>12487996</v>
      </c>
      <c r="I795" s="2">
        <v>1.8337609973609859</v>
      </c>
    </row>
    <row r="796" spans="1:9" x14ac:dyDescent="0.3">
      <c r="A796" s="4" t="s">
        <v>54</v>
      </c>
      <c r="B796" s="3">
        <v>2019</v>
      </c>
      <c r="C796" s="4" t="s">
        <v>87</v>
      </c>
      <c r="D796" s="4" t="s">
        <v>5</v>
      </c>
      <c r="E796" s="3">
        <v>818</v>
      </c>
      <c r="F796" s="3">
        <f>Merge2[[#This Row],[Coverage]]*100</f>
        <v>96</v>
      </c>
      <c r="G796" s="1">
        <v>0.96</v>
      </c>
      <c r="H796" s="3">
        <v>12776103</v>
      </c>
      <c r="I796" s="2">
        <v>6.4025783135906149</v>
      </c>
    </row>
    <row r="797" spans="1:9" x14ac:dyDescent="0.3">
      <c r="A797" s="4" t="s">
        <v>54</v>
      </c>
      <c r="B797" s="3">
        <v>2020</v>
      </c>
      <c r="C797" s="4" t="s">
        <v>87</v>
      </c>
      <c r="D797" s="4" t="s">
        <v>5</v>
      </c>
      <c r="E797" s="3">
        <v>108</v>
      </c>
      <c r="F797" s="3">
        <f>Merge2[[#This Row],[Coverage]]*100</f>
        <v>94</v>
      </c>
      <c r="G797" s="1">
        <v>0.94</v>
      </c>
      <c r="H797" s="3">
        <v>13065837</v>
      </c>
      <c r="I797" s="2">
        <v>0.82658309605423674</v>
      </c>
    </row>
    <row r="798" spans="1:9" x14ac:dyDescent="0.3">
      <c r="A798" s="4" t="s">
        <v>54</v>
      </c>
      <c r="B798" s="3">
        <v>2021</v>
      </c>
      <c r="C798" s="4" t="s">
        <v>87</v>
      </c>
      <c r="D798" s="4" t="s">
        <v>5</v>
      </c>
      <c r="E798" s="3">
        <v>40</v>
      </c>
      <c r="F798" s="3">
        <f>Merge2[[#This Row],[Coverage]]*100</f>
        <v>87</v>
      </c>
      <c r="G798" s="1">
        <v>0.87</v>
      </c>
      <c r="H798" s="3">
        <v>13355260</v>
      </c>
      <c r="I798" s="2">
        <v>0.29950745998205952</v>
      </c>
    </row>
    <row r="799" spans="1:9" x14ac:dyDescent="0.3">
      <c r="A799" s="4" t="s">
        <v>54</v>
      </c>
      <c r="B799" s="3">
        <v>2022</v>
      </c>
      <c r="C799" s="4" t="s">
        <v>87</v>
      </c>
      <c r="D799" s="4" t="s">
        <v>5</v>
      </c>
      <c r="E799" s="3">
        <v>29</v>
      </c>
      <c r="F799" s="3">
        <f>Merge2[[#This Row],[Coverage]]*100</f>
        <v>99</v>
      </c>
      <c r="G799" s="1">
        <v>0.99</v>
      </c>
      <c r="H799" s="3">
        <v>13651030</v>
      </c>
      <c r="I799" s="2">
        <v>0.21243818232030845</v>
      </c>
    </row>
    <row r="800" spans="1:9" x14ac:dyDescent="0.3">
      <c r="A800" s="4" t="s">
        <v>54</v>
      </c>
      <c r="B800" s="3">
        <v>2023</v>
      </c>
      <c r="C800" s="4" t="s">
        <v>87</v>
      </c>
      <c r="D800" s="4" t="s">
        <v>5</v>
      </c>
      <c r="E800" s="3">
        <v>108</v>
      </c>
      <c r="F800" s="3">
        <f>Merge2[[#This Row],[Coverage]]*100</f>
        <v>96</v>
      </c>
      <c r="G800" s="1">
        <v>0.96</v>
      </c>
      <c r="H800" s="3">
        <v>13954471</v>
      </c>
      <c r="I800" s="2">
        <v>0.77394549746815922</v>
      </c>
    </row>
    <row r="801" spans="1:9" x14ac:dyDescent="0.3">
      <c r="A801" s="4" t="s">
        <v>54</v>
      </c>
      <c r="B801" s="3">
        <v>2024</v>
      </c>
      <c r="C801" s="4" t="s">
        <v>87</v>
      </c>
      <c r="D801" s="4" t="s">
        <v>5</v>
      </c>
      <c r="E801" s="3">
        <v>53</v>
      </c>
      <c r="F801" s="3">
        <f>Merge2[[#This Row],[Coverage]]*100</f>
        <v>97</v>
      </c>
      <c r="G801" s="1">
        <v>0.97</v>
      </c>
      <c r="H801" s="3">
        <v>14256567</v>
      </c>
      <c r="I801" s="2">
        <v>0.37175850259042026</v>
      </c>
    </row>
    <row r="802" spans="1:9" x14ac:dyDescent="0.3">
      <c r="A802" s="4" t="s">
        <v>62</v>
      </c>
      <c r="B802" s="3">
        <v>2000</v>
      </c>
      <c r="C802" s="4" t="s">
        <v>88</v>
      </c>
      <c r="D802" s="4" t="s">
        <v>5</v>
      </c>
      <c r="E802" s="3">
        <v>2875</v>
      </c>
      <c r="F802" s="3">
        <f>Merge2[[#This Row],[Coverage]]*100</f>
        <v>57.999999999999993</v>
      </c>
      <c r="G802" s="1">
        <v>0.57999999999999996</v>
      </c>
      <c r="H802" s="3">
        <v>27816745</v>
      </c>
      <c r="I802" s="2">
        <v>10.335501152273567</v>
      </c>
    </row>
    <row r="803" spans="1:9" x14ac:dyDescent="0.3">
      <c r="A803" s="4" t="s">
        <v>62</v>
      </c>
      <c r="B803" s="3">
        <v>2001</v>
      </c>
      <c r="C803" s="4" t="s">
        <v>88</v>
      </c>
      <c r="D803" s="4" t="s">
        <v>5</v>
      </c>
      <c r="E803" s="3">
        <v>4362</v>
      </c>
      <c r="F803" s="3">
        <f>Merge2[[#This Row],[Coverage]]*100</f>
        <v>57.999999999999993</v>
      </c>
      <c r="G803" s="1">
        <v>0.57999999999999996</v>
      </c>
      <c r="H803" s="3">
        <v>28516770</v>
      </c>
      <c r="I803" s="2">
        <v>15.296262515004328</v>
      </c>
    </row>
    <row r="804" spans="1:9" x14ac:dyDescent="0.3">
      <c r="A804" s="4" t="s">
        <v>62</v>
      </c>
      <c r="B804" s="3">
        <v>2002</v>
      </c>
      <c r="C804" s="4" t="s">
        <v>88</v>
      </c>
      <c r="D804" s="4" t="s">
        <v>5</v>
      </c>
      <c r="E804" s="3">
        <v>4529</v>
      </c>
      <c r="F804" s="3">
        <f>Merge2[[#This Row],[Coverage]]*100</f>
        <v>57.999999999999993</v>
      </c>
      <c r="G804" s="1">
        <v>0.57999999999999996</v>
      </c>
      <c r="H804" s="3">
        <v>29228727</v>
      </c>
      <c r="I804" s="2">
        <v>15.495029940920793</v>
      </c>
    </row>
    <row r="805" spans="1:9" x14ac:dyDescent="0.3">
      <c r="A805" s="4" t="s">
        <v>62</v>
      </c>
      <c r="B805" s="3">
        <v>2003</v>
      </c>
      <c r="C805" s="4" t="s">
        <v>88</v>
      </c>
      <c r="D805" s="4" t="s">
        <v>5</v>
      </c>
      <c r="E805" s="3">
        <v>4381</v>
      </c>
      <c r="F805" s="3">
        <f>Merge2[[#This Row],[Coverage]]*100</f>
        <v>65</v>
      </c>
      <c r="G805" s="1">
        <v>0.65</v>
      </c>
      <c r="H805" s="3">
        <v>29896035</v>
      </c>
      <c r="I805" s="2">
        <v>14.654117176408175</v>
      </c>
    </row>
    <row r="806" spans="1:9" x14ac:dyDescent="0.3">
      <c r="A806" s="4" t="s">
        <v>62</v>
      </c>
      <c r="B806" s="3">
        <v>2004</v>
      </c>
      <c r="C806" s="4" t="s">
        <v>88</v>
      </c>
      <c r="D806" s="4" t="s">
        <v>5</v>
      </c>
      <c r="E806" s="3">
        <v>9562</v>
      </c>
      <c r="F806" s="3">
        <f>Merge2[[#This Row],[Coverage]]*100</f>
        <v>67</v>
      </c>
      <c r="G806" s="1">
        <v>0.67</v>
      </c>
      <c r="H806" s="3">
        <v>30556637</v>
      </c>
      <c r="I806" s="2">
        <v>31.292710647444611</v>
      </c>
    </row>
    <row r="807" spans="1:9" x14ac:dyDescent="0.3">
      <c r="A807" s="4" t="s">
        <v>62</v>
      </c>
      <c r="B807" s="3">
        <v>2005</v>
      </c>
      <c r="C807" s="4" t="s">
        <v>88</v>
      </c>
      <c r="D807" s="4" t="s">
        <v>5</v>
      </c>
      <c r="E807" s="3">
        <v>1374</v>
      </c>
      <c r="F807" s="3">
        <f>Merge2[[#This Row],[Coverage]]*100</f>
        <v>69</v>
      </c>
      <c r="G807" s="1">
        <v>0.69</v>
      </c>
      <c r="H807" s="3">
        <v>31262444</v>
      </c>
      <c r="I807" s="2">
        <v>4.3950498559869473</v>
      </c>
    </row>
    <row r="808" spans="1:9" x14ac:dyDescent="0.3">
      <c r="A808" s="4" t="s">
        <v>62</v>
      </c>
      <c r="B808" s="3">
        <v>2006</v>
      </c>
      <c r="C808" s="4" t="s">
        <v>88</v>
      </c>
      <c r="D808" s="4" t="s">
        <v>5</v>
      </c>
      <c r="E808" s="3">
        <v>228</v>
      </c>
      <c r="F808" s="3">
        <f>Merge2[[#This Row],[Coverage]]*100</f>
        <v>73</v>
      </c>
      <c r="G808" s="1">
        <v>0.73</v>
      </c>
      <c r="H808" s="3">
        <v>31992435</v>
      </c>
      <c r="I808" s="2">
        <v>0.7126684792826804</v>
      </c>
    </row>
    <row r="809" spans="1:9" x14ac:dyDescent="0.3">
      <c r="A809" s="4" t="s">
        <v>62</v>
      </c>
      <c r="B809" s="3">
        <v>2007</v>
      </c>
      <c r="C809" s="4" t="s">
        <v>88</v>
      </c>
      <c r="D809" s="4" t="s">
        <v>5</v>
      </c>
      <c r="E809" s="3">
        <v>327</v>
      </c>
      <c r="F809" s="3">
        <f>Merge2[[#This Row],[Coverage]]*100</f>
        <v>79</v>
      </c>
      <c r="G809" s="1">
        <v>0.79</v>
      </c>
      <c r="H809" s="3">
        <v>32764135</v>
      </c>
      <c r="I809" s="2">
        <v>0.99804252424182716</v>
      </c>
    </row>
    <row r="810" spans="1:9" x14ac:dyDescent="0.3">
      <c r="A810" s="4" t="s">
        <v>62</v>
      </c>
      <c r="B810" s="3">
        <v>2008</v>
      </c>
      <c r="C810" s="4" t="s">
        <v>88</v>
      </c>
      <c r="D810" s="4" t="s">
        <v>5</v>
      </c>
      <c r="E810" s="3">
        <v>129</v>
      </c>
      <c r="F810" s="3">
        <f>Merge2[[#This Row],[Coverage]]*100</f>
        <v>79</v>
      </c>
      <c r="G810" s="1">
        <v>0.79</v>
      </c>
      <c r="H810" s="3">
        <v>33623980</v>
      </c>
      <c r="I810" s="2">
        <v>0.38365476067972915</v>
      </c>
    </row>
    <row r="811" spans="1:9" x14ac:dyDescent="0.3">
      <c r="A811" s="4" t="s">
        <v>62</v>
      </c>
      <c r="B811" s="3">
        <v>2009</v>
      </c>
      <c r="C811" s="4" t="s">
        <v>88</v>
      </c>
      <c r="D811" s="4" t="s">
        <v>5</v>
      </c>
      <c r="E811" s="3">
        <v>68</v>
      </c>
      <c r="F811" s="3">
        <f>Merge2[[#This Row],[Coverage]]*100</f>
        <v>82</v>
      </c>
      <c r="G811" s="1">
        <v>0.82</v>
      </c>
      <c r="H811" s="3">
        <v>34569113</v>
      </c>
      <c r="I811" s="2">
        <v>0.19670739020697467</v>
      </c>
    </row>
    <row r="812" spans="1:9" x14ac:dyDescent="0.3">
      <c r="A812" s="4" t="s">
        <v>62</v>
      </c>
      <c r="B812" s="3">
        <v>2010</v>
      </c>
      <c r="C812" s="4" t="s">
        <v>88</v>
      </c>
      <c r="D812" s="4" t="s">
        <v>5</v>
      </c>
      <c r="E812" s="3">
        <v>680</v>
      </c>
      <c r="F812" s="3">
        <f>Merge2[[#This Row],[Coverage]]*100</f>
        <v>90</v>
      </c>
      <c r="G812" s="1">
        <v>0.9</v>
      </c>
      <c r="H812" s="3">
        <v>35414399</v>
      </c>
      <c r="I812" s="2">
        <v>1.9201229420835293</v>
      </c>
    </row>
    <row r="813" spans="1:9" x14ac:dyDescent="0.3">
      <c r="A813" s="4" t="s">
        <v>62</v>
      </c>
      <c r="B813" s="3">
        <v>2011</v>
      </c>
      <c r="C813" s="4" t="s">
        <v>88</v>
      </c>
      <c r="D813" s="4" t="s">
        <v>5</v>
      </c>
      <c r="E813" s="3">
        <v>5616</v>
      </c>
      <c r="F813" s="3">
        <f>Merge2[[#This Row],[Coverage]]*100</f>
        <v>87</v>
      </c>
      <c r="G813" s="1">
        <v>0.87</v>
      </c>
      <c r="H813" s="3">
        <v>36140806</v>
      </c>
      <c r="I813" s="2">
        <v>15.539221787139997</v>
      </c>
    </row>
    <row r="814" spans="1:9" x14ac:dyDescent="0.3">
      <c r="A814" s="4" t="s">
        <v>62</v>
      </c>
      <c r="B814" s="3">
        <v>2012</v>
      </c>
      <c r="C814" s="4" t="s">
        <v>88</v>
      </c>
      <c r="D814" s="4" t="s">
        <v>5</v>
      </c>
      <c r="E814" s="3">
        <v>8523</v>
      </c>
      <c r="F814" s="3">
        <f>Merge2[[#This Row],[Coverage]]*100</f>
        <v>85</v>
      </c>
      <c r="G814" s="1">
        <v>0.85</v>
      </c>
      <c r="H814" s="3">
        <v>36923178</v>
      </c>
      <c r="I814" s="2">
        <v>23.083061810118295</v>
      </c>
    </row>
    <row r="815" spans="1:9" x14ac:dyDescent="0.3">
      <c r="A815" s="4" t="s">
        <v>62</v>
      </c>
      <c r="B815" s="3">
        <v>2013</v>
      </c>
      <c r="C815" s="4" t="s">
        <v>88</v>
      </c>
      <c r="D815" s="4" t="s">
        <v>5</v>
      </c>
      <c r="E815" s="3">
        <v>2813</v>
      </c>
      <c r="F815" s="3">
        <f>Merge2[[#This Row],[Coverage]]*100</f>
        <v>85</v>
      </c>
      <c r="G815" s="1">
        <v>0.85</v>
      </c>
      <c r="H815" s="3">
        <v>37785849</v>
      </c>
      <c r="I815" s="2">
        <v>7.4445859348032641</v>
      </c>
    </row>
    <row r="816" spans="1:9" x14ac:dyDescent="0.3">
      <c r="A816" s="4" t="s">
        <v>62</v>
      </c>
      <c r="B816" s="3">
        <v>2014</v>
      </c>
      <c r="C816" s="4" t="s">
        <v>88</v>
      </c>
      <c r="D816" s="4" t="s">
        <v>5</v>
      </c>
      <c r="E816" s="3">
        <v>676</v>
      </c>
      <c r="F816" s="3">
        <f>Merge2[[#This Row],[Coverage]]*100</f>
        <v>86</v>
      </c>
      <c r="G816" s="1">
        <v>0.86</v>
      </c>
      <c r="H816" s="3">
        <v>38823318</v>
      </c>
      <c r="I816" s="2">
        <v>1.7412216029552134</v>
      </c>
    </row>
    <row r="817" spans="1:9" x14ac:dyDescent="0.3">
      <c r="A817" s="4" t="s">
        <v>62</v>
      </c>
      <c r="B817" s="3">
        <v>2015</v>
      </c>
      <c r="C817" s="4" t="s">
        <v>88</v>
      </c>
      <c r="D817" s="4" t="s">
        <v>5</v>
      </c>
      <c r="E817" s="3">
        <v>3585</v>
      </c>
      <c r="F817" s="3">
        <f>Merge2[[#This Row],[Coverage]]*100</f>
        <v>87</v>
      </c>
      <c r="G817" s="1">
        <v>0.87</v>
      </c>
      <c r="H817" s="3">
        <v>40024431</v>
      </c>
      <c r="I817" s="2">
        <v>8.9570292704473431</v>
      </c>
    </row>
    <row r="818" spans="1:9" x14ac:dyDescent="0.3">
      <c r="A818" s="4" t="s">
        <v>62</v>
      </c>
      <c r="B818" s="3">
        <v>2016</v>
      </c>
      <c r="C818" s="4" t="s">
        <v>88</v>
      </c>
      <c r="D818" s="4" t="s">
        <v>5</v>
      </c>
      <c r="E818" s="3">
        <v>1767</v>
      </c>
      <c r="F818" s="3">
        <f>Merge2[[#This Row],[Coverage]]*100</f>
        <v>87</v>
      </c>
      <c r="G818" s="1">
        <v>0.87</v>
      </c>
      <c r="H818" s="3">
        <v>41259892</v>
      </c>
      <c r="I818" s="2">
        <v>4.2826093679547199</v>
      </c>
    </row>
    <row r="819" spans="1:9" x14ac:dyDescent="0.3">
      <c r="A819" s="4" t="s">
        <v>62</v>
      </c>
      <c r="B819" s="3">
        <v>2017</v>
      </c>
      <c r="C819" s="4" t="s">
        <v>88</v>
      </c>
      <c r="D819" s="4" t="s">
        <v>5</v>
      </c>
      <c r="E819" s="3">
        <v>665</v>
      </c>
      <c r="F819" s="3">
        <f>Merge2[[#This Row],[Coverage]]*100</f>
        <v>90</v>
      </c>
      <c r="G819" s="1">
        <v>0.9</v>
      </c>
      <c r="H819" s="3">
        <v>42714306</v>
      </c>
      <c r="I819" s="2">
        <v>1.5568554479148038</v>
      </c>
    </row>
    <row r="820" spans="1:9" x14ac:dyDescent="0.3">
      <c r="A820" s="4" t="s">
        <v>62</v>
      </c>
      <c r="B820" s="3">
        <v>2018</v>
      </c>
      <c r="C820" s="4" t="s">
        <v>88</v>
      </c>
      <c r="D820" s="4" t="s">
        <v>5</v>
      </c>
      <c r="E820" s="3">
        <v>4980</v>
      </c>
      <c r="F820" s="3">
        <f>Merge2[[#This Row],[Coverage]]*100</f>
        <v>88</v>
      </c>
      <c r="G820" s="1">
        <v>0.88</v>
      </c>
      <c r="H820" s="3">
        <v>44230596</v>
      </c>
      <c r="I820" s="2">
        <v>11.259174531584426</v>
      </c>
    </row>
    <row r="821" spans="1:9" x14ac:dyDescent="0.3">
      <c r="A821" s="4" t="s">
        <v>62</v>
      </c>
      <c r="B821" s="3">
        <v>2019</v>
      </c>
      <c r="C821" s="4" t="s">
        <v>88</v>
      </c>
      <c r="D821" s="4" t="s">
        <v>5</v>
      </c>
      <c r="E821" s="3">
        <v>3555</v>
      </c>
      <c r="F821" s="3">
        <f>Merge2[[#This Row],[Coverage]]*100</f>
        <v>90</v>
      </c>
      <c r="G821" s="1">
        <v>0.9</v>
      </c>
      <c r="H821" s="3">
        <v>45548175</v>
      </c>
      <c r="I821" s="2">
        <v>7.8049230292980996</v>
      </c>
    </row>
    <row r="822" spans="1:9" x14ac:dyDescent="0.3">
      <c r="A822" s="4" t="s">
        <v>62</v>
      </c>
      <c r="B822" s="3">
        <v>2020</v>
      </c>
      <c r="C822" s="4" t="s">
        <v>88</v>
      </c>
      <c r="D822" s="4" t="s">
        <v>5</v>
      </c>
      <c r="E822" s="3">
        <v>401</v>
      </c>
      <c r="F822" s="3">
        <f>Merge2[[#This Row],[Coverage]]*100</f>
        <v>86</v>
      </c>
      <c r="G822" s="1">
        <v>0.86</v>
      </c>
      <c r="H822" s="3">
        <v>46789231</v>
      </c>
      <c r="I822" s="2">
        <v>0.85703481640892976</v>
      </c>
    </row>
    <row r="823" spans="1:9" x14ac:dyDescent="0.3">
      <c r="A823" s="4" t="s">
        <v>62</v>
      </c>
      <c r="B823" s="3">
        <v>2021</v>
      </c>
      <c r="C823" s="4" t="s">
        <v>88</v>
      </c>
      <c r="D823" s="4" t="s">
        <v>5</v>
      </c>
      <c r="E823" s="3"/>
      <c r="F823" s="3">
        <f>Merge2[[#This Row],[Coverage]]*100</f>
        <v>81</v>
      </c>
      <c r="G823" s="1">
        <v>0.81</v>
      </c>
      <c r="H823" s="3">
        <v>48066924</v>
      </c>
    </row>
    <row r="824" spans="1:9" x14ac:dyDescent="0.3">
      <c r="A824" s="4" t="s">
        <v>62</v>
      </c>
      <c r="B824" s="3">
        <v>2022</v>
      </c>
      <c r="C824" s="4" t="s">
        <v>88</v>
      </c>
      <c r="D824" s="4" t="s">
        <v>5</v>
      </c>
      <c r="E824" s="3">
        <v>1575</v>
      </c>
      <c r="F824" s="3">
        <f>Merge2[[#This Row],[Coverage]]*100</f>
        <v>80</v>
      </c>
      <c r="G824" s="1">
        <v>0.8</v>
      </c>
      <c r="H824" s="3">
        <v>49383346</v>
      </c>
      <c r="I824" s="2">
        <v>3.1893343152568074</v>
      </c>
    </row>
    <row r="825" spans="1:9" x14ac:dyDescent="0.3">
      <c r="A825" s="4" t="s">
        <v>62</v>
      </c>
      <c r="B825" s="3">
        <v>2023</v>
      </c>
      <c r="C825" s="4" t="s">
        <v>88</v>
      </c>
      <c r="D825" s="4" t="s">
        <v>5</v>
      </c>
      <c r="E825" s="3">
        <v>1377</v>
      </c>
      <c r="F825" s="3">
        <f>Merge2[[#This Row],[Coverage]]*100</f>
        <v>51</v>
      </c>
      <c r="G825" s="1">
        <v>0.51</v>
      </c>
      <c r="H825" s="3">
        <v>50042791</v>
      </c>
      <c r="I825" s="2">
        <v>2.7516450871015565</v>
      </c>
    </row>
    <row r="826" spans="1:9" x14ac:dyDescent="0.3">
      <c r="A826" s="4" t="s">
        <v>62</v>
      </c>
      <c r="B826" s="3">
        <v>2024</v>
      </c>
      <c r="C826" s="4" t="s">
        <v>88</v>
      </c>
      <c r="D826" s="4" t="s">
        <v>5</v>
      </c>
      <c r="E826" s="3">
        <v>1337</v>
      </c>
      <c r="F826" s="3">
        <f>Merge2[[#This Row],[Coverage]]*100</f>
        <v>46</v>
      </c>
      <c r="G826" s="1">
        <v>0.46</v>
      </c>
      <c r="H826" s="3">
        <v>50448963</v>
      </c>
      <c r="I826" s="2">
        <v>2.6502031369802386</v>
      </c>
    </row>
    <row r="827" spans="1:9" x14ac:dyDescent="0.3">
      <c r="A827" s="4" t="s">
        <v>56</v>
      </c>
      <c r="B827" s="3">
        <v>2000</v>
      </c>
      <c r="C827" s="4" t="s">
        <v>89</v>
      </c>
      <c r="D827" s="4" t="s">
        <v>5</v>
      </c>
      <c r="E827" s="3">
        <v>5839</v>
      </c>
      <c r="F827" s="3">
        <f>Merge2[[#This Row],[Coverage]]*100</f>
        <v>48</v>
      </c>
      <c r="G827" s="1">
        <v>0.48</v>
      </c>
      <c r="H827" s="3">
        <v>9968260</v>
      </c>
      <c r="I827" s="2">
        <v>58.575919969984731</v>
      </c>
    </row>
    <row r="828" spans="1:9" x14ac:dyDescent="0.3">
      <c r="A828" s="4" t="s">
        <v>56</v>
      </c>
      <c r="B828" s="3">
        <v>2001</v>
      </c>
      <c r="C828" s="4" t="s">
        <v>89</v>
      </c>
      <c r="D828" s="4" t="s">
        <v>5</v>
      </c>
      <c r="E828" s="3">
        <v>24789</v>
      </c>
      <c r="F828" s="3">
        <f>Merge2[[#This Row],[Coverage]]*100</f>
        <v>48</v>
      </c>
      <c r="G828" s="1">
        <v>0.48</v>
      </c>
      <c r="H828" s="3">
        <v>10212942</v>
      </c>
      <c r="I828" s="2">
        <v>242.72144108915924</v>
      </c>
    </row>
    <row r="829" spans="1:9" x14ac:dyDescent="0.3">
      <c r="A829" s="4" t="s">
        <v>56</v>
      </c>
      <c r="B829" s="3">
        <v>2002</v>
      </c>
      <c r="C829" s="4" t="s">
        <v>89</v>
      </c>
      <c r="D829" s="4" t="s">
        <v>5</v>
      </c>
      <c r="E829" s="3">
        <v>18184</v>
      </c>
      <c r="F829" s="3">
        <f>Merge2[[#This Row],[Coverage]]*100</f>
        <v>54</v>
      </c>
      <c r="G829" s="1">
        <v>0.54</v>
      </c>
      <c r="H829" s="3">
        <v>10466214</v>
      </c>
      <c r="I829" s="2">
        <v>173.73999805469293</v>
      </c>
    </row>
    <row r="830" spans="1:9" x14ac:dyDescent="0.3">
      <c r="A830" s="4" t="s">
        <v>56</v>
      </c>
      <c r="B830" s="3">
        <v>2003</v>
      </c>
      <c r="C830" s="4" t="s">
        <v>89</v>
      </c>
      <c r="D830" s="4" t="s">
        <v>5</v>
      </c>
      <c r="E830" s="3">
        <v>1519</v>
      </c>
      <c r="F830" s="3">
        <f>Merge2[[#This Row],[Coverage]]*100</f>
        <v>60</v>
      </c>
      <c r="G830" s="1">
        <v>0.6</v>
      </c>
      <c r="H830" s="3">
        <v>10721176</v>
      </c>
      <c r="I830" s="2">
        <v>14.168221844320064</v>
      </c>
    </row>
    <row r="831" spans="1:9" x14ac:dyDescent="0.3">
      <c r="A831" s="4" t="s">
        <v>56</v>
      </c>
      <c r="B831" s="3">
        <v>2004</v>
      </c>
      <c r="C831" s="4" t="s">
        <v>89</v>
      </c>
      <c r="D831" s="4" t="s">
        <v>5</v>
      </c>
      <c r="E831" s="3">
        <v>31</v>
      </c>
      <c r="F831" s="3">
        <f>Merge2[[#This Row],[Coverage]]*100</f>
        <v>56.999999999999993</v>
      </c>
      <c r="G831" s="1">
        <v>0.56999999999999995</v>
      </c>
      <c r="H831" s="3">
        <v>10975704</v>
      </c>
      <c r="I831" s="2">
        <v>0.28244201920897283</v>
      </c>
    </row>
    <row r="832" spans="1:9" x14ac:dyDescent="0.3">
      <c r="A832" s="4" t="s">
        <v>56</v>
      </c>
      <c r="B832" s="3">
        <v>2005</v>
      </c>
      <c r="C832" s="4" t="s">
        <v>89</v>
      </c>
      <c r="D832" s="4" t="s">
        <v>5</v>
      </c>
      <c r="E832" s="3">
        <v>0</v>
      </c>
      <c r="F832" s="3">
        <f>Merge2[[#This Row],[Coverage]]*100</f>
        <v>74</v>
      </c>
      <c r="G832" s="1">
        <v>0.74</v>
      </c>
      <c r="H832" s="3">
        <v>11235472</v>
      </c>
      <c r="I832" s="2">
        <v>0</v>
      </c>
    </row>
    <row r="833" spans="1:9" x14ac:dyDescent="0.3">
      <c r="A833" s="4" t="s">
        <v>56</v>
      </c>
      <c r="B833" s="3">
        <v>2006</v>
      </c>
      <c r="C833" s="4" t="s">
        <v>89</v>
      </c>
      <c r="D833" s="4" t="s">
        <v>5</v>
      </c>
      <c r="E833" s="3">
        <v>3</v>
      </c>
      <c r="F833" s="3">
        <f>Merge2[[#This Row],[Coverage]]*100</f>
        <v>80</v>
      </c>
      <c r="G833" s="1">
        <v>0.8</v>
      </c>
      <c r="H833" s="3">
        <v>11500094</v>
      </c>
      <c r="I833" s="2">
        <v>2.6086743290967884E-2</v>
      </c>
    </row>
    <row r="834" spans="1:9" x14ac:dyDescent="0.3">
      <c r="A834" s="4" t="s">
        <v>56</v>
      </c>
      <c r="B834" s="3">
        <v>2007</v>
      </c>
      <c r="C834" s="4" t="s">
        <v>89</v>
      </c>
      <c r="D834" s="4" t="s">
        <v>5</v>
      </c>
      <c r="E834" s="3">
        <v>11</v>
      </c>
      <c r="F834" s="3">
        <f>Merge2[[#This Row],[Coverage]]*100</f>
        <v>84</v>
      </c>
      <c r="G834" s="1">
        <v>0.84</v>
      </c>
      <c r="H834" s="3">
        <v>11770344</v>
      </c>
      <c r="I834" s="2">
        <v>9.3455212523950032E-2</v>
      </c>
    </row>
    <row r="835" spans="1:9" x14ac:dyDescent="0.3">
      <c r="A835" s="4" t="s">
        <v>56</v>
      </c>
      <c r="B835" s="3">
        <v>2008</v>
      </c>
      <c r="C835" s="4" t="s">
        <v>89</v>
      </c>
      <c r="D835" s="4" t="s">
        <v>5</v>
      </c>
      <c r="E835" s="3">
        <v>6</v>
      </c>
      <c r="F835" s="3">
        <f>Merge2[[#This Row],[Coverage]]*100</f>
        <v>77</v>
      </c>
      <c r="G835" s="1">
        <v>0.77</v>
      </c>
      <c r="H835" s="3">
        <v>12048959</v>
      </c>
      <c r="I835" s="2">
        <v>4.9796833070807192E-2</v>
      </c>
    </row>
    <row r="836" spans="1:9" x14ac:dyDescent="0.3">
      <c r="A836" s="4" t="s">
        <v>56</v>
      </c>
      <c r="B836" s="3">
        <v>2009</v>
      </c>
      <c r="C836" s="4" t="s">
        <v>89</v>
      </c>
      <c r="D836" s="4" t="s">
        <v>5</v>
      </c>
      <c r="E836" s="3">
        <v>999</v>
      </c>
      <c r="F836" s="3">
        <f>Merge2[[#This Row],[Coverage]]*100</f>
        <v>79</v>
      </c>
      <c r="G836" s="1">
        <v>0.79</v>
      </c>
      <c r="H836" s="3">
        <v>12337389</v>
      </c>
      <c r="I836" s="2">
        <v>8.0973372891136037</v>
      </c>
    </row>
    <row r="837" spans="1:9" x14ac:dyDescent="0.3">
      <c r="A837" s="4" t="s">
        <v>56</v>
      </c>
      <c r="B837" s="3">
        <v>2010</v>
      </c>
      <c r="C837" s="4" t="s">
        <v>89</v>
      </c>
      <c r="D837" s="4" t="s">
        <v>5</v>
      </c>
      <c r="E837" s="3">
        <v>428</v>
      </c>
      <c r="F837" s="3">
        <f>Merge2[[#This Row],[Coverage]]*100</f>
        <v>81</v>
      </c>
      <c r="G837" s="1">
        <v>0.81</v>
      </c>
      <c r="H837" s="3">
        <v>12635413</v>
      </c>
      <c r="I837" s="2">
        <v>3.3873051874125526</v>
      </c>
    </row>
    <row r="838" spans="1:9" x14ac:dyDescent="0.3">
      <c r="A838" s="4" t="s">
        <v>56</v>
      </c>
      <c r="B838" s="3">
        <v>2011</v>
      </c>
      <c r="C838" s="4" t="s">
        <v>89</v>
      </c>
      <c r="D838" s="4" t="s">
        <v>5</v>
      </c>
      <c r="E838" s="3">
        <v>18</v>
      </c>
      <c r="F838" s="3">
        <f>Merge2[[#This Row],[Coverage]]*100</f>
        <v>84</v>
      </c>
      <c r="G838" s="1">
        <v>0.84</v>
      </c>
      <c r="H838" s="3">
        <v>12958897</v>
      </c>
      <c r="I838" s="2">
        <v>0.13890071045398386</v>
      </c>
    </row>
    <row r="839" spans="1:9" x14ac:dyDescent="0.3">
      <c r="A839" s="4" t="s">
        <v>56</v>
      </c>
      <c r="B839" s="3">
        <v>2012</v>
      </c>
      <c r="C839" s="4" t="s">
        <v>89</v>
      </c>
      <c r="D839" s="4" t="s">
        <v>5</v>
      </c>
      <c r="E839" s="3">
        <v>46</v>
      </c>
      <c r="F839" s="3">
        <f>Merge2[[#This Row],[Coverage]]*100</f>
        <v>83</v>
      </c>
      <c r="G839" s="1">
        <v>0.83</v>
      </c>
      <c r="H839" s="3">
        <v>13310495</v>
      </c>
      <c r="I839" s="2">
        <v>0.34559195582132746</v>
      </c>
    </row>
    <row r="840" spans="1:9" x14ac:dyDescent="0.3">
      <c r="A840" s="4" t="s">
        <v>56</v>
      </c>
      <c r="B840" s="3">
        <v>2013</v>
      </c>
      <c r="C840" s="4" t="s">
        <v>89</v>
      </c>
      <c r="D840" s="4" t="s">
        <v>5</v>
      </c>
      <c r="E840" s="3">
        <v>17</v>
      </c>
      <c r="F840" s="3">
        <f>Merge2[[#This Row],[Coverage]]*100</f>
        <v>84</v>
      </c>
      <c r="G840" s="1">
        <v>0.84</v>
      </c>
      <c r="H840" s="3">
        <v>13710849</v>
      </c>
      <c r="I840" s="2">
        <v>0.12398940430311792</v>
      </c>
    </row>
    <row r="841" spans="1:9" x14ac:dyDescent="0.3">
      <c r="A841" s="4" t="s">
        <v>56</v>
      </c>
      <c r="B841" s="3">
        <v>2014</v>
      </c>
      <c r="C841" s="4" t="s">
        <v>89</v>
      </c>
      <c r="D841" s="4" t="s">
        <v>5</v>
      </c>
      <c r="E841" s="3">
        <v>32</v>
      </c>
      <c r="F841" s="3">
        <f>Merge2[[#This Row],[Coverage]]*100</f>
        <v>80</v>
      </c>
      <c r="G841" s="1">
        <v>0.8</v>
      </c>
      <c r="H841" s="3">
        <v>14152102</v>
      </c>
      <c r="I841" s="2">
        <v>0.22611482025779631</v>
      </c>
    </row>
    <row r="842" spans="1:9" x14ac:dyDescent="0.3">
      <c r="A842" s="4" t="s">
        <v>56</v>
      </c>
      <c r="B842" s="3">
        <v>2015</v>
      </c>
      <c r="C842" s="4" t="s">
        <v>89</v>
      </c>
      <c r="D842" s="4" t="s">
        <v>5</v>
      </c>
      <c r="E842" s="3">
        <v>58</v>
      </c>
      <c r="F842" s="3">
        <f>Merge2[[#This Row],[Coverage]]*100</f>
        <v>80</v>
      </c>
      <c r="G842" s="1">
        <v>0.8</v>
      </c>
      <c r="H842" s="3">
        <v>14593331</v>
      </c>
      <c r="I842" s="2">
        <v>0.39744181777278947</v>
      </c>
    </row>
    <row r="843" spans="1:9" x14ac:dyDescent="0.3">
      <c r="A843" s="4" t="s">
        <v>56</v>
      </c>
      <c r="B843" s="3">
        <v>2016</v>
      </c>
      <c r="C843" s="4" t="s">
        <v>89</v>
      </c>
      <c r="D843" s="4" t="s">
        <v>5</v>
      </c>
      <c r="E843" s="3">
        <v>162</v>
      </c>
      <c r="F843" s="3">
        <f>Merge2[[#This Row],[Coverage]]*100</f>
        <v>93</v>
      </c>
      <c r="G843" s="1">
        <v>0.93</v>
      </c>
      <c r="H843" s="3">
        <v>15034521</v>
      </c>
      <c r="I843" s="2">
        <v>1.0775201950231736</v>
      </c>
    </row>
    <row r="844" spans="1:9" x14ac:dyDescent="0.3">
      <c r="A844" s="4" t="s">
        <v>56</v>
      </c>
      <c r="B844" s="3">
        <v>2017</v>
      </c>
      <c r="C844" s="4" t="s">
        <v>89</v>
      </c>
      <c r="D844" s="4" t="s">
        <v>5</v>
      </c>
      <c r="E844" s="3">
        <v>11</v>
      </c>
      <c r="F844" s="3">
        <f>Merge2[[#This Row],[Coverage]]*100</f>
        <v>90</v>
      </c>
      <c r="G844" s="1">
        <v>0.9</v>
      </c>
      <c r="H844" s="3">
        <v>15475002</v>
      </c>
      <c r="I844" s="2">
        <v>7.1082381766412697E-2</v>
      </c>
    </row>
    <row r="845" spans="1:9" x14ac:dyDescent="0.3">
      <c r="A845" s="4" t="s">
        <v>56</v>
      </c>
      <c r="B845" s="3">
        <v>2018</v>
      </c>
      <c r="C845" s="4" t="s">
        <v>89</v>
      </c>
      <c r="D845" s="4" t="s">
        <v>5</v>
      </c>
      <c r="E845" s="3">
        <v>12</v>
      </c>
      <c r="F845" s="3">
        <f>Merge2[[#This Row],[Coverage]]*100</f>
        <v>86</v>
      </c>
      <c r="G845" s="1">
        <v>0.86</v>
      </c>
      <c r="H845" s="3">
        <v>15914498</v>
      </c>
      <c r="I845" s="2">
        <v>7.5402943906870329E-2</v>
      </c>
    </row>
    <row r="846" spans="1:9" x14ac:dyDescent="0.3">
      <c r="A846" s="4" t="s">
        <v>56</v>
      </c>
      <c r="B846" s="3">
        <v>2019</v>
      </c>
      <c r="C846" s="4" t="s">
        <v>89</v>
      </c>
      <c r="D846" s="4" t="s">
        <v>5</v>
      </c>
      <c r="E846" s="3">
        <v>267</v>
      </c>
      <c r="F846" s="3">
        <f>Merge2[[#This Row],[Coverage]]*100</f>
        <v>86</v>
      </c>
      <c r="G846" s="1">
        <v>0.86</v>
      </c>
      <c r="H846" s="3">
        <v>16352922</v>
      </c>
      <c r="I846" s="2">
        <v>1.6327357275965728</v>
      </c>
    </row>
    <row r="847" spans="1:9" x14ac:dyDescent="0.3">
      <c r="A847" s="4" t="s">
        <v>56</v>
      </c>
      <c r="B847" s="3">
        <v>2020</v>
      </c>
      <c r="C847" s="4" t="s">
        <v>89</v>
      </c>
      <c r="D847" s="4" t="s">
        <v>5</v>
      </c>
      <c r="E847" s="3">
        <v>212</v>
      </c>
      <c r="F847" s="3">
        <f>Merge2[[#This Row],[Coverage]]*100</f>
        <v>82</v>
      </c>
      <c r="G847" s="1">
        <v>0.82</v>
      </c>
      <c r="H847" s="3">
        <v>16789219</v>
      </c>
      <c r="I847" s="2">
        <v>1.2627150792422208</v>
      </c>
    </row>
    <row r="848" spans="1:9" x14ac:dyDescent="0.3">
      <c r="A848" s="4" t="s">
        <v>56</v>
      </c>
      <c r="B848" s="3">
        <v>2021</v>
      </c>
      <c r="C848" s="4" t="s">
        <v>89</v>
      </c>
      <c r="D848" s="4" t="s">
        <v>5</v>
      </c>
      <c r="E848" s="3">
        <v>187</v>
      </c>
      <c r="F848" s="3">
        <f>Merge2[[#This Row],[Coverage]]*100</f>
        <v>88</v>
      </c>
      <c r="G848" s="1">
        <v>0.88</v>
      </c>
      <c r="H848" s="3">
        <v>17220867</v>
      </c>
      <c r="I848" s="2">
        <v>1.0858919007968646</v>
      </c>
    </row>
    <row r="849" spans="1:9" x14ac:dyDescent="0.3">
      <c r="A849" s="4" t="s">
        <v>56</v>
      </c>
      <c r="B849" s="3">
        <v>2022</v>
      </c>
      <c r="C849" s="4" t="s">
        <v>89</v>
      </c>
      <c r="D849" s="4" t="s">
        <v>5</v>
      </c>
      <c r="E849" s="3">
        <v>508</v>
      </c>
      <c r="F849" s="3">
        <f>Merge2[[#This Row],[Coverage]]*100</f>
        <v>87</v>
      </c>
      <c r="G849" s="1">
        <v>0.87</v>
      </c>
      <c r="H849" s="3">
        <v>17651103</v>
      </c>
      <c r="I849" s="2">
        <v>2.8780071137764027</v>
      </c>
    </row>
    <row r="850" spans="1:9" x14ac:dyDescent="0.3">
      <c r="A850" s="4" t="s">
        <v>56</v>
      </c>
      <c r="B850" s="3">
        <v>2023</v>
      </c>
      <c r="C850" s="4" t="s">
        <v>89</v>
      </c>
      <c r="D850" s="4" t="s">
        <v>5</v>
      </c>
      <c r="E850" s="3">
        <v>564</v>
      </c>
      <c r="F850" s="3">
        <f>Merge2[[#This Row],[Coverage]]*100</f>
        <v>87</v>
      </c>
      <c r="G850" s="1">
        <v>0.87</v>
      </c>
      <c r="H850" s="3">
        <v>18077573</v>
      </c>
      <c r="I850" s="2">
        <v>3.1198878300754198</v>
      </c>
    </row>
    <row r="851" spans="1:9" x14ac:dyDescent="0.3">
      <c r="A851" s="4" t="s">
        <v>56</v>
      </c>
      <c r="B851" s="3">
        <v>2024</v>
      </c>
      <c r="C851" s="4" t="s">
        <v>89</v>
      </c>
      <c r="D851" s="4" t="s">
        <v>5</v>
      </c>
      <c r="E851" s="3">
        <v>496</v>
      </c>
      <c r="F851" s="3">
        <f>Merge2[[#This Row],[Coverage]]*100</f>
        <v>87</v>
      </c>
      <c r="G851" s="1">
        <v>0.87</v>
      </c>
      <c r="H851" s="3">
        <v>18501984</v>
      </c>
      <c r="I851" s="2">
        <v>2.6807935840826587</v>
      </c>
    </row>
    <row r="852" spans="1:9" x14ac:dyDescent="0.3">
      <c r="A852" s="4" t="s">
        <v>58</v>
      </c>
      <c r="B852" s="3">
        <v>2000</v>
      </c>
      <c r="C852" s="4" t="s">
        <v>90</v>
      </c>
      <c r="D852" s="4" t="s">
        <v>5</v>
      </c>
      <c r="E852" s="3">
        <v>3575</v>
      </c>
      <c r="F852" s="3">
        <f>Merge2[[#This Row],[Coverage]]*100</f>
        <v>37</v>
      </c>
      <c r="G852" s="1">
        <v>0.37</v>
      </c>
      <c r="H852" s="3">
        <v>4423611</v>
      </c>
      <c r="I852" s="2">
        <v>80.816328560535723</v>
      </c>
    </row>
    <row r="853" spans="1:9" x14ac:dyDescent="0.3">
      <c r="A853" s="4" t="s">
        <v>58</v>
      </c>
      <c r="B853" s="3">
        <v>2001</v>
      </c>
      <c r="C853" s="4" t="s">
        <v>90</v>
      </c>
      <c r="D853" s="4" t="s">
        <v>5</v>
      </c>
      <c r="E853" s="3">
        <v>649</v>
      </c>
      <c r="F853" s="3">
        <f>Merge2[[#This Row],[Coverage]]*100</f>
        <v>50</v>
      </c>
      <c r="G853" s="1">
        <v>0.5</v>
      </c>
      <c r="H853" s="3">
        <v>4692716</v>
      </c>
      <c r="I853" s="2">
        <v>13.829944109125718</v>
      </c>
    </row>
    <row r="854" spans="1:9" x14ac:dyDescent="0.3">
      <c r="A854" s="4" t="s">
        <v>58</v>
      </c>
      <c r="B854" s="3">
        <v>2002</v>
      </c>
      <c r="C854" s="4" t="s">
        <v>90</v>
      </c>
      <c r="D854" s="4" t="s">
        <v>5</v>
      </c>
      <c r="E854" s="3">
        <v>568</v>
      </c>
      <c r="F854" s="3">
        <f>Merge2[[#This Row],[Coverage]]*100</f>
        <v>62</v>
      </c>
      <c r="G854" s="1">
        <v>0.62</v>
      </c>
      <c r="H854" s="3">
        <v>4971435</v>
      </c>
      <c r="I854" s="2">
        <v>11.425272582262465</v>
      </c>
    </row>
    <row r="855" spans="1:9" x14ac:dyDescent="0.3">
      <c r="A855" s="4" t="s">
        <v>58</v>
      </c>
      <c r="B855" s="3">
        <v>2003</v>
      </c>
      <c r="C855" s="4" t="s">
        <v>90</v>
      </c>
      <c r="D855" s="4" t="s">
        <v>5</v>
      </c>
      <c r="E855" s="3">
        <v>586</v>
      </c>
      <c r="F855" s="3">
        <f>Merge2[[#This Row],[Coverage]]*100</f>
        <v>73</v>
      </c>
      <c r="G855" s="1">
        <v>0.73</v>
      </c>
      <c r="H855" s="3">
        <v>5177687</v>
      </c>
      <c r="I855" s="2">
        <v>11.317794992242675</v>
      </c>
    </row>
    <row r="856" spans="1:9" x14ac:dyDescent="0.3">
      <c r="A856" s="4" t="s">
        <v>58</v>
      </c>
      <c r="B856" s="3">
        <v>2004</v>
      </c>
      <c r="C856" s="4" t="s">
        <v>90</v>
      </c>
      <c r="D856" s="4" t="s">
        <v>5</v>
      </c>
      <c r="E856" s="3">
        <v>7</v>
      </c>
      <c r="F856" s="3">
        <f>Merge2[[#This Row],[Coverage]]*100</f>
        <v>76</v>
      </c>
      <c r="G856" s="1">
        <v>0.76</v>
      </c>
      <c r="H856" s="3">
        <v>5355717</v>
      </c>
      <c r="I856" s="2">
        <v>0.13070145416570741</v>
      </c>
    </row>
    <row r="857" spans="1:9" x14ac:dyDescent="0.3">
      <c r="A857" s="4" t="s">
        <v>58</v>
      </c>
      <c r="B857" s="3">
        <v>2005</v>
      </c>
      <c r="C857" s="4" t="s">
        <v>90</v>
      </c>
      <c r="D857" s="4" t="s">
        <v>5</v>
      </c>
      <c r="E857" s="3">
        <v>29</v>
      </c>
      <c r="F857" s="3">
        <f>Merge2[[#This Row],[Coverage]]*100</f>
        <v>71</v>
      </c>
      <c r="G857" s="1">
        <v>0.71</v>
      </c>
      <c r="H857" s="3">
        <v>5501712</v>
      </c>
      <c r="I857" s="2">
        <v>0.52710865272482466</v>
      </c>
    </row>
    <row r="858" spans="1:9" x14ac:dyDescent="0.3">
      <c r="A858" s="4" t="s">
        <v>58</v>
      </c>
      <c r="B858" s="3">
        <v>2006</v>
      </c>
      <c r="C858" s="4" t="s">
        <v>90</v>
      </c>
      <c r="D858" s="4" t="s">
        <v>5</v>
      </c>
      <c r="E858" s="3">
        <v>33</v>
      </c>
      <c r="F858" s="3">
        <f>Merge2[[#This Row],[Coverage]]*100</f>
        <v>65</v>
      </c>
      <c r="G858" s="1">
        <v>0.65</v>
      </c>
      <c r="H858" s="3">
        <v>5624466</v>
      </c>
      <c r="I858" s="2">
        <v>0.58672236617662898</v>
      </c>
    </row>
    <row r="859" spans="1:9" x14ac:dyDescent="0.3">
      <c r="A859" s="4" t="s">
        <v>58</v>
      </c>
      <c r="B859" s="3">
        <v>2007</v>
      </c>
      <c r="C859" s="4" t="s">
        <v>90</v>
      </c>
      <c r="D859" s="4" t="s">
        <v>5</v>
      </c>
      <c r="E859" s="3">
        <v>0</v>
      </c>
      <c r="F859" s="3">
        <f>Merge2[[#This Row],[Coverage]]*100</f>
        <v>60</v>
      </c>
      <c r="G859" s="1">
        <v>0.6</v>
      </c>
      <c r="H859" s="3">
        <v>5749352</v>
      </c>
      <c r="I859" s="2">
        <v>0</v>
      </c>
    </row>
    <row r="860" spans="1:9" x14ac:dyDescent="0.3">
      <c r="A860" s="4" t="s">
        <v>58</v>
      </c>
      <c r="B860" s="3">
        <v>2008</v>
      </c>
      <c r="C860" s="4" t="s">
        <v>90</v>
      </c>
      <c r="D860" s="4" t="s">
        <v>5</v>
      </c>
      <c r="E860" s="3">
        <v>44</v>
      </c>
      <c r="F860" s="3">
        <f>Merge2[[#This Row],[Coverage]]*100</f>
        <v>73</v>
      </c>
      <c r="G860" s="1">
        <v>0.73</v>
      </c>
      <c r="H860" s="3">
        <v>5894722</v>
      </c>
      <c r="I860" s="2">
        <v>0.74643045083381365</v>
      </c>
    </row>
    <row r="861" spans="1:9" x14ac:dyDescent="0.3">
      <c r="A861" s="4" t="s">
        <v>58</v>
      </c>
      <c r="B861" s="3">
        <v>2009</v>
      </c>
      <c r="C861" s="4" t="s">
        <v>90</v>
      </c>
      <c r="D861" s="4" t="s">
        <v>5</v>
      </c>
      <c r="E861" s="3">
        <v>31</v>
      </c>
      <c r="F861" s="3">
        <f>Merge2[[#This Row],[Coverage]]*100</f>
        <v>80</v>
      </c>
      <c r="G861" s="1">
        <v>0.8</v>
      </c>
      <c r="H861" s="3">
        <v>6055646</v>
      </c>
      <c r="I861" s="2">
        <v>0.51191895959572276</v>
      </c>
    </row>
    <row r="862" spans="1:9" x14ac:dyDescent="0.3">
      <c r="A862" s="4" t="s">
        <v>58</v>
      </c>
      <c r="B862" s="3">
        <v>2010</v>
      </c>
      <c r="C862" s="4" t="s">
        <v>90</v>
      </c>
      <c r="D862" s="4" t="s">
        <v>5</v>
      </c>
      <c r="E862" s="3">
        <v>1089</v>
      </c>
      <c r="F862" s="3">
        <f>Merge2[[#This Row],[Coverage]]*100</f>
        <v>82</v>
      </c>
      <c r="G862" s="1">
        <v>0.82</v>
      </c>
      <c r="H862" s="3">
        <v>6222714</v>
      </c>
      <c r="I862" s="2">
        <v>17.500402557469297</v>
      </c>
    </row>
    <row r="863" spans="1:9" x14ac:dyDescent="0.3">
      <c r="A863" s="4" t="s">
        <v>58</v>
      </c>
      <c r="B863" s="3">
        <v>2011</v>
      </c>
      <c r="C863" s="4" t="s">
        <v>90</v>
      </c>
      <c r="D863" s="4" t="s">
        <v>5</v>
      </c>
      <c r="E863" s="3">
        <v>1865</v>
      </c>
      <c r="F863" s="3">
        <f>Merge2[[#This Row],[Coverage]]*100</f>
        <v>84</v>
      </c>
      <c r="G863" s="1">
        <v>0.84</v>
      </c>
      <c r="H863" s="3">
        <v>6387251</v>
      </c>
      <c r="I863" s="2">
        <v>29.198789901946864</v>
      </c>
    </row>
    <row r="864" spans="1:9" x14ac:dyDescent="0.3">
      <c r="A864" s="4" t="s">
        <v>58</v>
      </c>
      <c r="B864" s="3">
        <v>2012</v>
      </c>
      <c r="C864" s="4" t="s">
        <v>90</v>
      </c>
      <c r="D864" s="4" t="s">
        <v>5</v>
      </c>
      <c r="E864" s="3">
        <v>678</v>
      </c>
      <c r="F864" s="3">
        <f>Merge2[[#This Row],[Coverage]]*100</f>
        <v>86</v>
      </c>
      <c r="G864" s="1">
        <v>0.86</v>
      </c>
      <c r="H864" s="3">
        <v>6551080</v>
      </c>
      <c r="I864" s="2">
        <v>10.34943856585479</v>
      </c>
    </row>
    <row r="865" spans="1:9" x14ac:dyDescent="0.3">
      <c r="A865" s="4" t="s">
        <v>58</v>
      </c>
      <c r="B865" s="3">
        <v>2013</v>
      </c>
      <c r="C865" s="4" t="s">
        <v>90</v>
      </c>
      <c r="D865" s="4" t="s">
        <v>5</v>
      </c>
      <c r="E865" s="3">
        <v>15</v>
      </c>
      <c r="F865" s="3">
        <f>Merge2[[#This Row],[Coverage]]*100</f>
        <v>85</v>
      </c>
      <c r="G865" s="1">
        <v>0.85</v>
      </c>
      <c r="H865" s="3">
        <v>6714051</v>
      </c>
      <c r="I865" s="2">
        <v>0.22341206523453577</v>
      </c>
    </row>
    <row r="866" spans="1:9" x14ac:dyDescent="0.3">
      <c r="A866" s="4" t="s">
        <v>58</v>
      </c>
      <c r="B866" s="3">
        <v>2014</v>
      </c>
      <c r="C866" s="4" t="s">
        <v>90</v>
      </c>
      <c r="D866" s="4" t="s">
        <v>5</v>
      </c>
      <c r="E866" s="3">
        <v>1006</v>
      </c>
      <c r="F866" s="3">
        <f>Merge2[[#This Row],[Coverage]]*100</f>
        <v>80</v>
      </c>
      <c r="G866" s="1">
        <v>0.8</v>
      </c>
      <c r="H866" s="3">
        <v>6876385</v>
      </c>
      <c r="I866" s="2">
        <v>14.629780037039811</v>
      </c>
    </row>
    <row r="867" spans="1:9" x14ac:dyDescent="0.3">
      <c r="A867" s="4" t="s">
        <v>58</v>
      </c>
      <c r="B867" s="3">
        <v>2015</v>
      </c>
      <c r="C867" s="4" t="s">
        <v>90</v>
      </c>
      <c r="D867" s="4" t="s">
        <v>5</v>
      </c>
      <c r="E867" s="3">
        <v>607</v>
      </c>
      <c r="F867" s="3">
        <f>Merge2[[#This Row],[Coverage]]*100</f>
        <v>78</v>
      </c>
      <c r="G867" s="1">
        <v>0.78</v>
      </c>
      <c r="H867" s="3">
        <v>7037655</v>
      </c>
      <c r="I867" s="2">
        <v>8.6250320596846546</v>
      </c>
    </row>
    <row r="868" spans="1:9" x14ac:dyDescent="0.3">
      <c r="A868" s="4" t="s">
        <v>58</v>
      </c>
      <c r="B868" s="3">
        <v>2016</v>
      </c>
      <c r="C868" s="4" t="s">
        <v>90</v>
      </c>
      <c r="D868" s="4" t="s">
        <v>5</v>
      </c>
      <c r="E868" s="3">
        <v>920</v>
      </c>
      <c r="F868" s="3">
        <f>Merge2[[#This Row],[Coverage]]*100</f>
        <v>85</v>
      </c>
      <c r="G868" s="1">
        <v>0.85</v>
      </c>
      <c r="H868" s="3">
        <v>7205328</v>
      </c>
      <c r="I868" s="2">
        <v>12.7683292141593</v>
      </c>
    </row>
    <row r="869" spans="1:9" x14ac:dyDescent="0.3">
      <c r="A869" s="4" t="s">
        <v>58</v>
      </c>
      <c r="B869" s="3">
        <v>2017</v>
      </c>
      <c r="C869" s="4" t="s">
        <v>90</v>
      </c>
      <c r="D869" s="4" t="s">
        <v>5</v>
      </c>
      <c r="E869" s="3">
        <v>1873</v>
      </c>
      <c r="F869" s="3">
        <f>Merge2[[#This Row],[Coverage]]*100</f>
        <v>80</v>
      </c>
      <c r="G869" s="1">
        <v>0.8</v>
      </c>
      <c r="H869" s="3">
        <v>7379299</v>
      </c>
      <c r="I869" s="2">
        <v>25.381814722509549</v>
      </c>
    </row>
    <row r="870" spans="1:9" x14ac:dyDescent="0.3">
      <c r="A870" s="4" t="s">
        <v>58</v>
      </c>
      <c r="B870" s="3">
        <v>2018</v>
      </c>
      <c r="C870" s="4" t="s">
        <v>90</v>
      </c>
      <c r="D870" s="4" t="s">
        <v>5</v>
      </c>
      <c r="E870" s="3">
        <v>344</v>
      </c>
      <c r="F870" s="3">
        <f>Merge2[[#This Row],[Coverage]]*100</f>
        <v>87</v>
      </c>
      <c r="G870" s="1">
        <v>0.87</v>
      </c>
      <c r="H870" s="3">
        <v>7554563</v>
      </c>
      <c r="I870" s="2">
        <v>4.5535393642226563</v>
      </c>
    </row>
    <row r="871" spans="1:9" x14ac:dyDescent="0.3">
      <c r="A871" s="4" t="s">
        <v>58</v>
      </c>
      <c r="B871" s="3">
        <v>2019</v>
      </c>
      <c r="C871" s="4" t="s">
        <v>90</v>
      </c>
      <c r="D871" s="4" t="s">
        <v>5</v>
      </c>
      <c r="E871" s="3">
        <v>40</v>
      </c>
      <c r="F871" s="3">
        <f>Merge2[[#This Row],[Coverage]]*100</f>
        <v>93</v>
      </c>
      <c r="G871" s="1">
        <v>0.93</v>
      </c>
      <c r="H871" s="3">
        <v>7731991</v>
      </c>
      <c r="I871" s="2">
        <v>0.51733117640721515</v>
      </c>
    </row>
    <row r="872" spans="1:9" x14ac:dyDescent="0.3">
      <c r="A872" s="4" t="s">
        <v>58</v>
      </c>
      <c r="B872" s="3">
        <v>2020</v>
      </c>
      <c r="C872" s="4" t="s">
        <v>90</v>
      </c>
      <c r="D872" s="4" t="s">
        <v>5</v>
      </c>
      <c r="E872" s="3">
        <v>17</v>
      </c>
      <c r="F872" s="3">
        <f>Merge2[[#This Row],[Coverage]]*100</f>
        <v>87</v>
      </c>
      <c r="G872" s="1">
        <v>0.87</v>
      </c>
      <c r="H872" s="3">
        <v>7912558</v>
      </c>
      <c r="I872" s="2">
        <v>0.21484834613534587</v>
      </c>
    </row>
    <row r="873" spans="1:9" x14ac:dyDescent="0.3">
      <c r="A873" s="4" t="s">
        <v>58</v>
      </c>
      <c r="B873" s="3">
        <v>2021</v>
      </c>
      <c r="C873" s="4" t="s">
        <v>90</v>
      </c>
      <c r="D873" s="4" t="s">
        <v>5</v>
      </c>
      <c r="E873" s="3">
        <v>170</v>
      </c>
      <c r="F873" s="3">
        <f>Merge2[[#This Row],[Coverage]]*100</f>
        <v>87</v>
      </c>
      <c r="G873" s="1">
        <v>0.87</v>
      </c>
      <c r="H873" s="3">
        <v>8094602</v>
      </c>
      <c r="I873" s="2">
        <v>2.1001650235552041</v>
      </c>
    </row>
    <row r="874" spans="1:9" x14ac:dyDescent="0.3">
      <c r="A874" s="4" t="s">
        <v>58</v>
      </c>
      <c r="B874" s="3">
        <v>2022</v>
      </c>
      <c r="C874" s="4" t="s">
        <v>90</v>
      </c>
      <c r="D874" s="4" t="s">
        <v>5</v>
      </c>
      <c r="E874" s="3">
        <v>731</v>
      </c>
      <c r="F874" s="3">
        <f>Merge2[[#This Row],[Coverage]]*100</f>
        <v>90</v>
      </c>
      <c r="G874" s="1">
        <v>0.9</v>
      </c>
      <c r="H874" s="3">
        <v>8276807</v>
      </c>
      <c r="I874" s="2">
        <v>8.8319082467429766</v>
      </c>
    </row>
    <row r="875" spans="1:9" x14ac:dyDescent="0.3">
      <c r="A875" s="4" t="s">
        <v>58</v>
      </c>
      <c r="B875" s="3">
        <v>2023</v>
      </c>
      <c r="C875" s="4" t="s">
        <v>90</v>
      </c>
      <c r="D875" s="4" t="s">
        <v>5</v>
      </c>
      <c r="E875" s="3">
        <v>645</v>
      </c>
      <c r="F875" s="3">
        <f>Merge2[[#This Row],[Coverage]]*100</f>
        <v>90</v>
      </c>
      <c r="G875" s="1">
        <v>0.9</v>
      </c>
      <c r="H875" s="3">
        <v>8460512</v>
      </c>
      <c r="I875" s="2">
        <v>7.6236520910318424</v>
      </c>
    </row>
    <row r="876" spans="1:9" x14ac:dyDescent="0.3">
      <c r="A876" s="4" t="s">
        <v>58</v>
      </c>
      <c r="B876" s="3">
        <v>2024</v>
      </c>
      <c r="C876" s="4" t="s">
        <v>90</v>
      </c>
      <c r="D876" s="4" t="s">
        <v>5</v>
      </c>
      <c r="E876" s="3">
        <v>129</v>
      </c>
      <c r="F876" s="3">
        <f>Merge2[[#This Row],[Coverage]]*100</f>
        <v>90</v>
      </c>
      <c r="G876" s="1">
        <v>0.9</v>
      </c>
      <c r="H876" s="3">
        <v>8642022</v>
      </c>
      <c r="I876" s="2">
        <v>1.4927062208358184</v>
      </c>
    </row>
    <row r="877" spans="1:9" x14ac:dyDescent="0.3">
      <c r="A877" s="4" t="s">
        <v>59</v>
      </c>
      <c r="B877" s="3">
        <v>2000</v>
      </c>
      <c r="C877" s="4" t="s">
        <v>91</v>
      </c>
      <c r="D877" s="4" t="s">
        <v>5</v>
      </c>
      <c r="E877" s="3">
        <v>3965</v>
      </c>
      <c r="F877" s="3">
        <f>Merge2[[#This Row],[Coverage]]*100</f>
        <v>24</v>
      </c>
      <c r="G877" s="1">
        <v>0.24</v>
      </c>
      <c r="H877" s="3">
        <v>8838713</v>
      </c>
      <c r="I877" s="2">
        <v>44.859472187862643</v>
      </c>
    </row>
    <row r="878" spans="1:9" x14ac:dyDescent="0.3">
      <c r="A878" s="4" t="s">
        <v>59</v>
      </c>
      <c r="B878" s="3">
        <v>2001</v>
      </c>
      <c r="C878" s="4" t="s">
        <v>91</v>
      </c>
      <c r="D878" s="4" t="s">
        <v>5</v>
      </c>
      <c r="E878" s="3">
        <v>3571</v>
      </c>
      <c r="F878" s="3">
        <f>Merge2[[#This Row],[Coverage]]*100</f>
        <v>20</v>
      </c>
      <c r="G878" s="1">
        <v>0.2</v>
      </c>
      <c r="H878" s="3">
        <v>9198493</v>
      </c>
      <c r="I878" s="2">
        <v>38.821576534330134</v>
      </c>
    </row>
    <row r="879" spans="1:9" x14ac:dyDescent="0.3">
      <c r="A879" s="4" t="s">
        <v>59</v>
      </c>
      <c r="B879" s="3">
        <v>2002</v>
      </c>
      <c r="C879" s="4" t="s">
        <v>91</v>
      </c>
      <c r="D879" s="4" t="s">
        <v>5</v>
      </c>
      <c r="E879" s="3">
        <v>9559</v>
      </c>
      <c r="F879" s="3">
        <f>Merge2[[#This Row],[Coverage]]*100</f>
        <v>45</v>
      </c>
      <c r="G879" s="1">
        <v>0.45</v>
      </c>
      <c r="H879" s="3">
        <v>9550063</v>
      </c>
      <c r="I879" s="2">
        <v>100.0935805344949</v>
      </c>
    </row>
    <row r="880" spans="1:9" x14ac:dyDescent="0.3">
      <c r="A880" s="4" t="s">
        <v>59</v>
      </c>
      <c r="B880" s="3">
        <v>2003</v>
      </c>
      <c r="C880" s="4" t="s">
        <v>91</v>
      </c>
      <c r="D880" s="4" t="s">
        <v>5</v>
      </c>
      <c r="E880" s="3">
        <v>8257</v>
      </c>
      <c r="F880" s="3">
        <f>Merge2[[#This Row],[Coverage]]*100</f>
        <v>40</v>
      </c>
      <c r="G880" s="1">
        <v>0.4</v>
      </c>
      <c r="H880" s="3">
        <v>9909157</v>
      </c>
      <c r="I880" s="2">
        <v>83.326967167842838</v>
      </c>
    </row>
    <row r="881" spans="1:9" x14ac:dyDescent="0.3">
      <c r="A881" s="4" t="s">
        <v>59</v>
      </c>
      <c r="B881" s="3">
        <v>2004</v>
      </c>
      <c r="C881" s="4" t="s">
        <v>91</v>
      </c>
      <c r="D881" s="4" t="s">
        <v>5</v>
      </c>
      <c r="E881" s="3">
        <v>12008</v>
      </c>
      <c r="F881" s="3">
        <f>Merge2[[#This Row],[Coverage]]*100</f>
        <v>40</v>
      </c>
      <c r="G881" s="1">
        <v>0.4</v>
      </c>
      <c r="H881" s="3">
        <v>10280998</v>
      </c>
      <c r="I881" s="2">
        <v>116.79799957163691</v>
      </c>
    </row>
    <row r="882" spans="1:9" x14ac:dyDescent="0.3">
      <c r="A882" s="4" t="s">
        <v>59</v>
      </c>
      <c r="B882" s="3">
        <v>2005</v>
      </c>
      <c r="C882" s="4" t="s">
        <v>91</v>
      </c>
      <c r="D882" s="4" t="s">
        <v>5</v>
      </c>
      <c r="E882" s="3"/>
      <c r="F882" s="3">
        <f>Merge2[[#This Row],[Coverage]]*100</f>
        <v>35</v>
      </c>
      <c r="G882" s="1">
        <v>0.35</v>
      </c>
      <c r="H882" s="3">
        <v>10644228</v>
      </c>
    </row>
    <row r="883" spans="1:9" x14ac:dyDescent="0.3">
      <c r="A883" s="4" t="s">
        <v>59</v>
      </c>
      <c r="B883" s="3">
        <v>2006</v>
      </c>
      <c r="C883" s="4" t="s">
        <v>91</v>
      </c>
      <c r="D883" s="4" t="s">
        <v>5</v>
      </c>
      <c r="E883" s="3">
        <v>7</v>
      </c>
      <c r="F883" s="3">
        <f>Merge2[[#This Row],[Coverage]]*100</f>
        <v>35</v>
      </c>
      <c r="G883" s="1">
        <v>0.35</v>
      </c>
      <c r="H883" s="3">
        <v>10975502</v>
      </c>
      <c r="I883" s="2">
        <v>6.3778403939974679E-2</v>
      </c>
    </row>
    <row r="884" spans="1:9" x14ac:dyDescent="0.3">
      <c r="A884" s="4" t="s">
        <v>59</v>
      </c>
      <c r="B884" s="3">
        <v>2007</v>
      </c>
      <c r="C884" s="4" t="s">
        <v>91</v>
      </c>
      <c r="D884" s="4" t="s">
        <v>5</v>
      </c>
      <c r="E884" s="3">
        <v>1149</v>
      </c>
      <c r="F884" s="3">
        <f>Merge2[[#This Row],[Coverage]]*100</f>
        <v>35</v>
      </c>
      <c r="G884" s="1">
        <v>0.35</v>
      </c>
      <c r="H884" s="3">
        <v>11322582</v>
      </c>
      <c r="I884" s="2">
        <v>10.147862033589158</v>
      </c>
    </row>
    <row r="885" spans="1:9" x14ac:dyDescent="0.3">
      <c r="A885" s="4" t="s">
        <v>59</v>
      </c>
      <c r="B885" s="3">
        <v>2008</v>
      </c>
      <c r="C885" s="4" t="s">
        <v>91</v>
      </c>
      <c r="D885" s="4" t="s">
        <v>5</v>
      </c>
      <c r="E885" s="3">
        <v>1081</v>
      </c>
      <c r="F885" s="3">
        <f>Merge2[[#This Row],[Coverage]]*100</f>
        <v>34</v>
      </c>
      <c r="G885" s="1">
        <v>0.34</v>
      </c>
      <c r="H885" s="3">
        <v>11663084</v>
      </c>
      <c r="I885" s="2">
        <v>9.2685605282445032</v>
      </c>
    </row>
    <row r="886" spans="1:9" x14ac:dyDescent="0.3">
      <c r="A886" s="4" t="s">
        <v>59</v>
      </c>
      <c r="B886" s="3">
        <v>2009</v>
      </c>
      <c r="C886" s="4" t="s">
        <v>91</v>
      </c>
      <c r="D886" s="4" t="s">
        <v>5</v>
      </c>
      <c r="E886" s="3">
        <v>13</v>
      </c>
      <c r="F886" s="3">
        <f>Merge2[[#This Row],[Coverage]]*100</f>
        <v>43</v>
      </c>
      <c r="G886" s="1">
        <v>0.43</v>
      </c>
      <c r="H886" s="3">
        <v>11961201</v>
      </c>
      <c r="I886" s="2">
        <v>0.10868473826332321</v>
      </c>
    </row>
    <row r="887" spans="1:9" x14ac:dyDescent="0.3">
      <c r="A887" s="4" t="s">
        <v>59</v>
      </c>
      <c r="B887" s="3">
        <v>2010</v>
      </c>
      <c r="C887" s="4" t="s">
        <v>91</v>
      </c>
      <c r="D887" s="4" t="s">
        <v>5</v>
      </c>
      <c r="E887" s="3">
        <v>115</v>
      </c>
      <c r="F887" s="3">
        <f>Merge2[[#This Row],[Coverage]]*100</f>
        <v>46</v>
      </c>
      <c r="G887" s="1">
        <v>0.46</v>
      </c>
      <c r="H887" s="3">
        <v>12261756</v>
      </c>
      <c r="I887" s="2">
        <v>0.93787545601135758</v>
      </c>
    </row>
    <row r="888" spans="1:9" x14ac:dyDescent="0.3">
      <c r="A888" s="4" t="s">
        <v>59</v>
      </c>
      <c r="B888" s="3">
        <v>2011</v>
      </c>
      <c r="C888" s="4" t="s">
        <v>91</v>
      </c>
      <c r="D888" s="4" t="s">
        <v>5</v>
      </c>
      <c r="E888" s="3">
        <v>17298</v>
      </c>
      <c r="F888" s="3">
        <f>Merge2[[#This Row],[Coverage]]*100</f>
        <v>46</v>
      </c>
      <c r="G888" s="1">
        <v>0.46</v>
      </c>
      <c r="H888" s="3">
        <v>12348830</v>
      </c>
      <c r="I888" s="2">
        <v>140.07804787983963</v>
      </c>
    </row>
    <row r="889" spans="1:9" x14ac:dyDescent="0.3">
      <c r="A889" s="4" t="s">
        <v>59</v>
      </c>
      <c r="B889" s="3">
        <v>2012</v>
      </c>
      <c r="C889" s="4" t="s">
        <v>91</v>
      </c>
      <c r="D889" s="4" t="s">
        <v>5</v>
      </c>
      <c r="E889" s="3">
        <v>9983</v>
      </c>
      <c r="F889" s="3">
        <f>Merge2[[#This Row],[Coverage]]*100</f>
        <v>46</v>
      </c>
      <c r="G889" s="1">
        <v>0.46</v>
      </c>
      <c r="H889" s="3">
        <v>12461160</v>
      </c>
      <c r="I889" s="2">
        <v>80.112926886421491</v>
      </c>
    </row>
    <row r="890" spans="1:9" x14ac:dyDescent="0.3">
      <c r="A890" s="4" t="s">
        <v>59</v>
      </c>
      <c r="B890" s="3">
        <v>2013</v>
      </c>
      <c r="C890" s="4" t="s">
        <v>91</v>
      </c>
      <c r="D890" s="4" t="s">
        <v>5</v>
      </c>
      <c r="E890" s="3">
        <v>3173</v>
      </c>
      <c r="F890" s="3">
        <f>Merge2[[#This Row],[Coverage]]*100</f>
        <v>47</v>
      </c>
      <c r="G890" s="1">
        <v>0.47</v>
      </c>
      <c r="H890" s="3">
        <v>12869594</v>
      </c>
      <c r="I890" s="2">
        <v>24.655012426965452</v>
      </c>
    </row>
    <row r="891" spans="1:9" x14ac:dyDescent="0.3">
      <c r="A891" s="4" t="s">
        <v>59</v>
      </c>
      <c r="B891" s="3">
        <v>2014</v>
      </c>
      <c r="C891" s="4" t="s">
        <v>91</v>
      </c>
      <c r="D891" s="4" t="s">
        <v>5</v>
      </c>
      <c r="E891" s="3">
        <v>10229</v>
      </c>
      <c r="F891" s="3">
        <f>Merge2[[#This Row],[Coverage]]*100</f>
        <v>48</v>
      </c>
      <c r="G891" s="1">
        <v>0.48</v>
      </c>
      <c r="H891" s="3">
        <v>13339491</v>
      </c>
      <c r="I891" s="2">
        <v>76.682086295496589</v>
      </c>
    </row>
    <row r="892" spans="1:9" x14ac:dyDescent="0.3">
      <c r="A892" s="4" t="s">
        <v>59</v>
      </c>
      <c r="B892" s="3">
        <v>2015</v>
      </c>
      <c r="C892" s="4" t="s">
        <v>91</v>
      </c>
      <c r="D892" s="4" t="s">
        <v>5</v>
      </c>
      <c r="E892" s="3">
        <v>7497</v>
      </c>
      <c r="F892" s="3">
        <f>Merge2[[#This Row],[Coverage]]*100</f>
        <v>50</v>
      </c>
      <c r="G892" s="1">
        <v>0.5</v>
      </c>
      <c r="H892" s="3">
        <v>13806963</v>
      </c>
      <c r="I892" s="2">
        <v>54.298689726335908</v>
      </c>
    </row>
    <row r="893" spans="1:9" x14ac:dyDescent="0.3">
      <c r="A893" s="4" t="s">
        <v>59</v>
      </c>
      <c r="B893" s="3">
        <v>2016</v>
      </c>
      <c r="C893" s="4" t="s">
        <v>91</v>
      </c>
      <c r="D893" s="4" t="s">
        <v>5</v>
      </c>
      <c r="E893" s="3">
        <v>26</v>
      </c>
      <c r="F893" s="3">
        <f>Merge2[[#This Row],[Coverage]]*100</f>
        <v>51</v>
      </c>
      <c r="G893" s="1">
        <v>0.51</v>
      </c>
      <c r="H893" s="3">
        <v>14348740</v>
      </c>
      <c r="I893" s="2">
        <v>0.18120057928431346</v>
      </c>
    </row>
    <row r="894" spans="1:9" x14ac:dyDescent="0.3">
      <c r="A894" s="4" t="s">
        <v>59</v>
      </c>
      <c r="B894" s="3">
        <v>2017</v>
      </c>
      <c r="C894" s="4" t="s">
        <v>91</v>
      </c>
      <c r="D894" s="4" t="s">
        <v>5</v>
      </c>
      <c r="E894" s="3">
        <v>23039</v>
      </c>
      <c r="F894" s="3">
        <f>Merge2[[#This Row],[Coverage]]*100</f>
        <v>52</v>
      </c>
      <c r="G894" s="1">
        <v>0.52</v>
      </c>
      <c r="H894" s="3">
        <v>14916629</v>
      </c>
      <c r="I894" s="2">
        <v>154.45178666037748</v>
      </c>
    </row>
    <row r="895" spans="1:9" x14ac:dyDescent="0.3">
      <c r="A895" s="4" t="s">
        <v>59</v>
      </c>
      <c r="B895" s="3">
        <v>2018</v>
      </c>
      <c r="C895" s="4" t="s">
        <v>91</v>
      </c>
      <c r="D895" s="4" t="s">
        <v>5</v>
      </c>
      <c r="E895" s="3">
        <v>9126</v>
      </c>
      <c r="F895" s="3">
        <f>Merge2[[#This Row],[Coverage]]*100</f>
        <v>53</v>
      </c>
      <c r="G895" s="1">
        <v>0.53</v>
      </c>
      <c r="H895" s="3">
        <v>15452487</v>
      </c>
      <c r="I895" s="2">
        <v>59.058454474027386</v>
      </c>
    </row>
    <row r="896" spans="1:9" x14ac:dyDescent="0.3">
      <c r="A896" s="4" t="s">
        <v>59</v>
      </c>
      <c r="B896" s="3">
        <v>2019</v>
      </c>
      <c r="C896" s="4" t="s">
        <v>91</v>
      </c>
      <c r="D896" s="4" t="s">
        <v>5</v>
      </c>
      <c r="E896" s="3">
        <v>283</v>
      </c>
      <c r="F896" s="3">
        <f>Merge2[[#This Row],[Coverage]]*100</f>
        <v>52</v>
      </c>
      <c r="G896" s="1">
        <v>0.52</v>
      </c>
      <c r="H896" s="3">
        <v>16030971</v>
      </c>
      <c r="I896" s="2">
        <v>1.7653328672355528</v>
      </c>
    </row>
    <row r="897" spans="1:9" x14ac:dyDescent="0.3">
      <c r="A897" s="4" t="s">
        <v>59</v>
      </c>
      <c r="B897" s="3">
        <v>2020</v>
      </c>
      <c r="C897" s="4" t="s">
        <v>91</v>
      </c>
      <c r="D897" s="4" t="s">
        <v>5</v>
      </c>
      <c r="E897" s="3">
        <v>2531</v>
      </c>
      <c r="F897" s="3">
        <f>Merge2[[#This Row],[Coverage]]*100</f>
        <v>52</v>
      </c>
      <c r="G897" s="1">
        <v>0.52</v>
      </c>
      <c r="H897" s="3">
        <v>16651191</v>
      </c>
      <c r="I897" s="2">
        <v>15.200113913773494</v>
      </c>
    </row>
    <row r="898" spans="1:9" x14ac:dyDescent="0.3">
      <c r="A898" s="4" t="s">
        <v>59</v>
      </c>
      <c r="B898" s="3">
        <v>2021</v>
      </c>
      <c r="C898" s="4" t="s">
        <v>91</v>
      </c>
      <c r="D898" s="4" t="s">
        <v>5</v>
      </c>
      <c r="E898" s="3">
        <v>7191</v>
      </c>
      <c r="F898" s="3">
        <f>Merge2[[#This Row],[Coverage]]*100</f>
        <v>57.999999999999993</v>
      </c>
      <c r="G898" s="1">
        <v>0.57999999999999996</v>
      </c>
      <c r="H898" s="3">
        <v>17271431</v>
      </c>
      <c r="I898" s="2">
        <v>41.635229877593808</v>
      </c>
    </row>
    <row r="899" spans="1:9" x14ac:dyDescent="0.3">
      <c r="A899" s="4" t="s">
        <v>59</v>
      </c>
      <c r="B899" s="3">
        <v>2022</v>
      </c>
      <c r="C899" s="4" t="s">
        <v>91</v>
      </c>
      <c r="D899" s="4" t="s">
        <v>5</v>
      </c>
      <c r="E899" s="3">
        <v>17361</v>
      </c>
      <c r="F899" s="3">
        <f>Merge2[[#This Row],[Coverage]]*100</f>
        <v>69</v>
      </c>
      <c r="G899" s="1">
        <v>0.69</v>
      </c>
      <c r="H899" s="3">
        <v>17801897</v>
      </c>
      <c r="I899" s="2">
        <v>97.523314509683999</v>
      </c>
    </row>
    <row r="900" spans="1:9" x14ac:dyDescent="0.3">
      <c r="A900" s="4" t="s">
        <v>59</v>
      </c>
      <c r="B900" s="3">
        <v>2023</v>
      </c>
      <c r="C900" s="4" t="s">
        <v>91</v>
      </c>
      <c r="D900" s="4" t="s">
        <v>5</v>
      </c>
      <c r="E900" s="3">
        <v>3167</v>
      </c>
      <c r="F900" s="3">
        <f>Merge2[[#This Row],[Coverage]]*100</f>
        <v>63</v>
      </c>
      <c r="G900" s="1">
        <v>0.63</v>
      </c>
      <c r="H900" s="3">
        <v>18358615</v>
      </c>
      <c r="I900" s="2">
        <v>17.250756661109786</v>
      </c>
    </row>
    <row r="901" spans="1:9" x14ac:dyDescent="0.3">
      <c r="A901" s="4" t="s">
        <v>59</v>
      </c>
      <c r="B901" s="3">
        <v>2024</v>
      </c>
      <c r="C901" s="4" t="s">
        <v>91</v>
      </c>
      <c r="D901" s="4" t="s">
        <v>5</v>
      </c>
      <c r="E901" s="3">
        <v>1529</v>
      </c>
      <c r="F901" s="3">
        <f>Merge2[[#This Row],[Coverage]]*100</f>
        <v>64</v>
      </c>
      <c r="G901" s="1">
        <v>0.64</v>
      </c>
      <c r="H901" s="3">
        <v>19009151</v>
      </c>
      <c r="I901" s="2">
        <v>8.0434944201348078</v>
      </c>
    </row>
    <row r="902" spans="1:9" x14ac:dyDescent="0.3">
      <c r="A902" s="4" t="s">
        <v>61</v>
      </c>
      <c r="B902" s="3">
        <v>2011</v>
      </c>
      <c r="C902" s="4" t="s">
        <v>92</v>
      </c>
      <c r="D902" s="4" t="s">
        <v>5</v>
      </c>
      <c r="E902" s="3">
        <v>1256</v>
      </c>
      <c r="F902" s="3">
        <f>Merge2[[#This Row],[Coverage]]*100</f>
        <v>62</v>
      </c>
      <c r="G902" s="1">
        <v>0.62</v>
      </c>
      <c r="H902" s="3">
        <v>10288109</v>
      </c>
      <c r="I902" s="2">
        <v>12.208268788754085</v>
      </c>
    </row>
    <row r="903" spans="1:9" x14ac:dyDescent="0.3">
      <c r="A903" s="4" t="s">
        <v>61</v>
      </c>
      <c r="B903" s="3">
        <v>2012</v>
      </c>
      <c r="C903" s="4" t="s">
        <v>92</v>
      </c>
      <c r="D903" s="4" t="s">
        <v>5</v>
      </c>
      <c r="E903" s="3">
        <v>1952</v>
      </c>
      <c r="F903" s="3">
        <f>Merge2[[#This Row],[Coverage]]*100</f>
        <v>59</v>
      </c>
      <c r="G903" s="1">
        <v>0.59</v>
      </c>
      <c r="H903" s="3">
        <v>10756240</v>
      </c>
      <c r="I903" s="2">
        <v>18.14760548295687</v>
      </c>
    </row>
    <row r="904" spans="1:9" x14ac:dyDescent="0.3">
      <c r="A904" s="4" t="s">
        <v>61</v>
      </c>
      <c r="B904" s="3">
        <v>2013</v>
      </c>
      <c r="C904" s="4" t="s">
        <v>92</v>
      </c>
      <c r="D904" s="4" t="s">
        <v>5</v>
      </c>
      <c r="E904" s="3">
        <v>525</v>
      </c>
      <c r="F904" s="3">
        <f>Merge2[[#This Row],[Coverage]]*100</f>
        <v>56.999999999999993</v>
      </c>
      <c r="G904" s="1">
        <v>0.56999999999999995</v>
      </c>
      <c r="H904" s="3">
        <v>11166275</v>
      </c>
      <c r="I904" s="2">
        <v>4.7016574461940088</v>
      </c>
    </row>
    <row r="905" spans="1:9" x14ac:dyDescent="0.3">
      <c r="A905" s="4" t="s">
        <v>61</v>
      </c>
      <c r="B905" s="3">
        <v>2014</v>
      </c>
      <c r="C905" s="4" t="s">
        <v>92</v>
      </c>
      <c r="D905" s="4" t="s">
        <v>5</v>
      </c>
      <c r="E905" s="3">
        <v>441</v>
      </c>
      <c r="F905" s="3">
        <f>Merge2[[#This Row],[Coverage]]*100</f>
        <v>54</v>
      </c>
      <c r="G905" s="1">
        <v>0.54</v>
      </c>
      <c r="H905" s="3">
        <v>11235073</v>
      </c>
      <c r="I905" s="2">
        <v>3.9252081406146626</v>
      </c>
    </row>
    <row r="906" spans="1:9" x14ac:dyDescent="0.3">
      <c r="A906" s="4" t="s">
        <v>61</v>
      </c>
      <c r="B906" s="3">
        <v>2015</v>
      </c>
      <c r="C906" s="4" t="s">
        <v>92</v>
      </c>
      <c r="D906" s="4" t="s">
        <v>5</v>
      </c>
      <c r="E906" s="3">
        <v>878</v>
      </c>
      <c r="F906" s="3">
        <f>Merge2[[#This Row],[Coverage]]*100</f>
        <v>52</v>
      </c>
      <c r="G906" s="1">
        <v>0.52</v>
      </c>
      <c r="H906" s="3">
        <v>11107561</v>
      </c>
      <c r="I906" s="2">
        <v>7.9045255749664571</v>
      </c>
    </row>
    <row r="907" spans="1:9" x14ac:dyDescent="0.3">
      <c r="A907" s="4" t="s">
        <v>61</v>
      </c>
      <c r="B907" s="3">
        <v>2016</v>
      </c>
      <c r="C907" s="4" t="s">
        <v>92</v>
      </c>
      <c r="D907" s="4" t="s">
        <v>5</v>
      </c>
      <c r="E907" s="3">
        <v>898</v>
      </c>
      <c r="F907" s="3">
        <f>Merge2[[#This Row],[Coverage]]*100</f>
        <v>51</v>
      </c>
      <c r="G907" s="1">
        <v>0.51</v>
      </c>
      <c r="H907" s="3">
        <v>10830102</v>
      </c>
      <c r="I907" s="2">
        <v>8.291703993184921</v>
      </c>
    </row>
    <row r="908" spans="1:9" x14ac:dyDescent="0.3">
      <c r="A908" s="4" t="s">
        <v>61</v>
      </c>
      <c r="B908" s="3">
        <v>2017</v>
      </c>
      <c r="C908" s="4" t="s">
        <v>92</v>
      </c>
      <c r="D908" s="4" t="s">
        <v>5</v>
      </c>
      <c r="E908" s="3">
        <v>487</v>
      </c>
      <c r="F908" s="3">
        <f>Merge2[[#This Row],[Coverage]]*100</f>
        <v>56.000000000000007</v>
      </c>
      <c r="G908" s="1">
        <v>0.56000000000000005</v>
      </c>
      <c r="H908" s="3">
        <v>10259154</v>
      </c>
      <c r="I908" s="2">
        <v>4.7469801116154411</v>
      </c>
    </row>
    <row r="909" spans="1:9" x14ac:dyDescent="0.3">
      <c r="A909" s="4" t="s">
        <v>61</v>
      </c>
      <c r="B909" s="3">
        <v>2018</v>
      </c>
      <c r="C909" s="4" t="s">
        <v>92</v>
      </c>
      <c r="D909" s="4" t="s">
        <v>5</v>
      </c>
      <c r="E909" s="3">
        <v>263</v>
      </c>
      <c r="F909" s="3">
        <f>Merge2[[#This Row],[Coverage]]*100</f>
        <v>61</v>
      </c>
      <c r="G909" s="1">
        <v>0.61</v>
      </c>
      <c r="H909" s="3">
        <v>10122977</v>
      </c>
      <c r="I909" s="2">
        <v>2.5980499609946759</v>
      </c>
    </row>
    <row r="910" spans="1:9" x14ac:dyDescent="0.3">
      <c r="A910" s="4" t="s">
        <v>61</v>
      </c>
      <c r="B910" s="3">
        <v>2019</v>
      </c>
      <c r="C910" s="4" t="s">
        <v>92</v>
      </c>
      <c r="D910" s="4" t="s">
        <v>5</v>
      </c>
      <c r="E910" s="3">
        <v>3401</v>
      </c>
      <c r="F910" s="3">
        <f>Merge2[[#This Row],[Coverage]]*100</f>
        <v>65</v>
      </c>
      <c r="G910" s="1">
        <v>0.65</v>
      </c>
      <c r="H910" s="3">
        <v>10423384</v>
      </c>
      <c r="I910" s="2">
        <v>32.628559016918118</v>
      </c>
    </row>
    <row r="911" spans="1:9" x14ac:dyDescent="0.3">
      <c r="A911" s="4" t="s">
        <v>61</v>
      </c>
      <c r="B911" s="3">
        <v>2020</v>
      </c>
      <c r="C911" s="4" t="s">
        <v>92</v>
      </c>
      <c r="D911" s="4" t="s">
        <v>5</v>
      </c>
      <c r="E911" s="3">
        <v>1290</v>
      </c>
      <c r="F911" s="3">
        <f>Merge2[[#This Row],[Coverage]]*100</f>
        <v>69</v>
      </c>
      <c r="G911" s="1">
        <v>0.69</v>
      </c>
      <c r="H911" s="3">
        <v>10698467</v>
      </c>
      <c r="I911" s="2">
        <v>12.057802300086545</v>
      </c>
    </row>
    <row r="912" spans="1:9" x14ac:dyDescent="0.3">
      <c r="A912" s="4" t="s">
        <v>61</v>
      </c>
      <c r="B912" s="3">
        <v>2021</v>
      </c>
      <c r="C912" s="4" t="s">
        <v>92</v>
      </c>
      <c r="D912" s="4" t="s">
        <v>5</v>
      </c>
      <c r="E912" s="3"/>
      <c r="F912" s="3">
        <f>Merge2[[#This Row],[Coverage]]*100</f>
        <v>74</v>
      </c>
      <c r="G912" s="1">
        <v>0.74</v>
      </c>
      <c r="H912" s="3">
        <v>10865780</v>
      </c>
    </row>
    <row r="913" spans="1:9" x14ac:dyDescent="0.3">
      <c r="A913" s="4" t="s">
        <v>61</v>
      </c>
      <c r="B913" s="3">
        <v>2022</v>
      </c>
      <c r="C913" s="4" t="s">
        <v>92</v>
      </c>
      <c r="D913" s="4" t="s">
        <v>5</v>
      </c>
      <c r="E913" s="3">
        <v>3608</v>
      </c>
      <c r="F913" s="3">
        <f>Merge2[[#This Row],[Coverage]]*100</f>
        <v>72</v>
      </c>
      <c r="G913" s="1">
        <v>0.72</v>
      </c>
      <c r="H913" s="3">
        <v>11021177</v>
      </c>
      <c r="I913" s="2">
        <v>32.736975370234958</v>
      </c>
    </row>
    <row r="914" spans="1:9" x14ac:dyDescent="0.3">
      <c r="A914" s="4" t="s">
        <v>61</v>
      </c>
      <c r="B914" s="3">
        <v>2023</v>
      </c>
      <c r="C914" s="4" t="s">
        <v>92</v>
      </c>
      <c r="D914" s="4" t="s">
        <v>5</v>
      </c>
      <c r="E914" s="3">
        <v>7957</v>
      </c>
      <c r="F914" s="3">
        <f>Merge2[[#This Row],[Coverage]]*100</f>
        <v>72</v>
      </c>
      <c r="G914" s="1">
        <v>0.72</v>
      </c>
      <c r="H914" s="3">
        <v>11483374</v>
      </c>
      <c r="I914" s="2">
        <v>69.291481754404231</v>
      </c>
    </row>
    <row r="915" spans="1:9" x14ac:dyDescent="0.3">
      <c r="A915" s="4" t="s">
        <v>61</v>
      </c>
      <c r="B915" s="3">
        <v>2024</v>
      </c>
      <c r="C915" s="4" t="s">
        <v>92</v>
      </c>
      <c r="D915" s="4" t="s">
        <v>5</v>
      </c>
      <c r="E915" s="3">
        <v>3114</v>
      </c>
      <c r="F915" s="3">
        <f>Merge2[[#This Row],[Coverage]]*100</f>
        <v>72</v>
      </c>
      <c r="G915" s="1">
        <v>0.72</v>
      </c>
      <c r="H915" s="3">
        <v>11943408</v>
      </c>
      <c r="I915" s="2">
        <v>26.072960079736035</v>
      </c>
    </row>
    <row r="916" spans="1:9" x14ac:dyDescent="0.3">
      <c r="A916" s="4" t="s">
        <v>55</v>
      </c>
      <c r="B916" s="3">
        <v>2000</v>
      </c>
      <c r="C916" s="4" t="s">
        <v>93</v>
      </c>
      <c r="D916" s="4" t="s">
        <v>5</v>
      </c>
      <c r="E916" s="3">
        <v>0</v>
      </c>
      <c r="F916" s="3">
        <f>Merge2[[#This Row],[Coverage]]*100</f>
        <v>69</v>
      </c>
      <c r="G916" s="1">
        <v>0.69</v>
      </c>
      <c r="H916" s="3">
        <v>144018</v>
      </c>
      <c r="I916" s="2">
        <v>0</v>
      </c>
    </row>
    <row r="917" spans="1:9" x14ac:dyDescent="0.3">
      <c r="A917" s="4" t="s">
        <v>55</v>
      </c>
      <c r="B917" s="3">
        <v>2001</v>
      </c>
      <c r="C917" s="4" t="s">
        <v>93</v>
      </c>
      <c r="D917" s="4" t="s">
        <v>5</v>
      </c>
      <c r="E917" s="3">
        <v>0</v>
      </c>
      <c r="F917" s="3">
        <f>Merge2[[#This Row],[Coverage]]*100</f>
        <v>75</v>
      </c>
      <c r="G917" s="1">
        <v>0.75</v>
      </c>
      <c r="H917" s="3">
        <v>146375</v>
      </c>
      <c r="I917" s="2">
        <v>0</v>
      </c>
    </row>
    <row r="918" spans="1:9" x14ac:dyDescent="0.3">
      <c r="A918" s="4" t="s">
        <v>55</v>
      </c>
      <c r="B918" s="3">
        <v>2002</v>
      </c>
      <c r="C918" s="4" t="s">
        <v>93</v>
      </c>
      <c r="D918" s="4" t="s">
        <v>5</v>
      </c>
      <c r="E918" s="3">
        <v>0</v>
      </c>
      <c r="F918" s="3">
        <f>Merge2[[#This Row],[Coverage]]*100</f>
        <v>85</v>
      </c>
      <c r="G918" s="1">
        <v>0.85</v>
      </c>
      <c r="H918" s="3">
        <v>149922</v>
      </c>
      <c r="I918" s="2">
        <v>0</v>
      </c>
    </row>
    <row r="919" spans="1:9" x14ac:dyDescent="0.3">
      <c r="A919" s="4" t="s">
        <v>55</v>
      </c>
      <c r="B919" s="3">
        <v>2003</v>
      </c>
      <c r="C919" s="4" t="s">
        <v>93</v>
      </c>
      <c r="D919" s="4" t="s">
        <v>5</v>
      </c>
      <c r="E919" s="3">
        <v>0</v>
      </c>
      <c r="F919" s="3">
        <f>Merge2[[#This Row],[Coverage]]*100</f>
        <v>87</v>
      </c>
      <c r="G919" s="1">
        <v>0.87</v>
      </c>
      <c r="H919" s="3">
        <v>153814</v>
      </c>
      <c r="I919" s="2">
        <v>0</v>
      </c>
    </row>
    <row r="920" spans="1:9" x14ac:dyDescent="0.3">
      <c r="A920" s="4" t="s">
        <v>55</v>
      </c>
      <c r="B920" s="3">
        <v>2004</v>
      </c>
      <c r="C920" s="4" t="s">
        <v>93</v>
      </c>
      <c r="D920" s="4" t="s">
        <v>5</v>
      </c>
      <c r="E920" s="3">
        <v>0</v>
      </c>
      <c r="F920" s="3">
        <f>Merge2[[#This Row],[Coverage]]*100</f>
        <v>91</v>
      </c>
      <c r="G920" s="1">
        <v>0.91</v>
      </c>
      <c r="H920" s="3">
        <v>157705</v>
      </c>
      <c r="I920" s="2">
        <v>0</v>
      </c>
    </row>
    <row r="921" spans="1:9" x14ac:dyDescent="0.3">
      <c r="A921" s="4" t="s">
        <v>55</v>
      </c>
      <c r="B921" s="3">
        <v>2005</v>
      </c>
      <c r="C921" s="4" t="s">
        <v>93</v>
      </c>
      <c r="D921" s="4" t="s">
        <v>5</v>
      </c>
      <c r="E921" s="3">
        <v>0</v>
      </c>
      <c r="F921" s="3">
        <f>Merge2[[#This Row],[Coverage]]*100</f>
        <v>88</v>
      </c>
      <c r="G921" s="1">
        <v>0.88</v>
      </c>
      <c r="H921" s="3">
        <v>161639</v>
      </c>
      <c r="I921" s="2">
        <v>0</v>
      </c>
    </row>
    <row r="922" spans="1:9" x14ac:dyDescent="0.3">
      <c r="A922" s="4" t="s">
        <v>55</v>
      </c>
      <c r="B922" s="3">
        <v>2006</v>
      </c>
      <c r="C922" s="4" t="s">
        <v>93</v>
      </c>
      <c r="D922" s="4" t="s">
        <v>5</v>
      </c>
      <c r="E922" s="3">
        <v>0</v>
      </c>
      <c r="F922" s="3">
        <f>Merge2[[#This Row],[Coverage]]*100</f>
        <v>85</v>
      </c>
      <c r="G922" s="1">
        <v>0.85</v>
      </c>
      <c r="H922" s="3">
        <v>165638</v>
      </c>
      <c r="I922" s="2">
        <v>0</v>
      </c>
    </row>
    <row r="923" spans="1:9" x14ac:dyDescent="0.3">
      <c r="A923" s="4" t="s">
        <v>55</v>
      </c>
      <c r="B923" s="3">
        <v>2007</v>
      </c>
      <c r="C923" s="4" t="s">
        <v>93</v>
      </c>
      <c r="D923" s="4" t="s">
        <v>5</v>
      </c>
      <c r="E923" s="3">
        <v>0</v>
      </c>
      <c r="F923" s="3">
        <f>Merge2[[#This Row],[Coverage]]*100</f>
        <v>86</v>
      </c>
      <c r="G923" s="1">
        <v>0.86</v>
      </c>
      <c r="H923" s="3">
        <v>169700</v>
      </c>
      <c r="I923" s="2">
        <v>0</v>
      </c>
    </row>
    <row r="924" spans="1:9" x14ac:dyDescent="0.3">
      <c r="A924" s="4" t="s">
        <v>55</v>
      </c>
      <c r="B924" s="3">
        <v>2008</v>
      </c>
      <c r="C924" s="4" t="s">
        <v>93</v>
      </c>
      <c r="D924" s="4" t="s">
        <v>5</v>
      </c>
      <c r="E924" s="3">
        <v>0</v>
      </c>
      <c r="F924" s="3">
        <f>Merge2[[#This Row],[Coverage]]*100</f>
        <v>93</v>
      </c>
      <c r="G924" s="1">
        <v>0.93</v>
      </c>
      <c r="H924" s="3">
        <v>173793</v>
      </c>
      <c r="I924" s="2">
        <v>0</v>
      </c>
    </row>
    <row r="925" spans="1:9" x14ac:dyDescent="0.3">
      <c r="A925" s="4" t="s">
        <v>55</v>
      </c>
      <c r="B925" s="3">
        <v>2009</v>
      </c>
      <c r="C925" s="4" t="s">
        <v>93</v>
      </c>
      <c r="D925" s="4" t="s">
        <v>5</v>
      </c>
      <c r="E925" s="3">
        <v>0</v>
      </c>
      <c r="F925" s="3">
        <f>Merge2[[#This Row],[Coverage]]*100</f>
        <v>90</v>
      </c>
      <c r="G925" s="1">
        <v>0.9</v>
      </c>
      <c r="H925" s="3">
        <v>177853</v>
      </c>
      <c r="I925" s="2">
        <v>0</v>
      </c>
    </row>
    <row r="926" spans="1:9" x14ac:dyDescent="0.3">
      <c r="A926" s="4" t="s">
        <v>55</v>
      </c>
      <c r="B926" s="3">
        <v>2010</v>
      </c>
      <c r="C926" s="4" t="s">
        <v>93</v>
      </c>
      <c r="D926" s="4" t="s">
        <v>5</v>
      </c>
      <c r="E926" s="3">
        <v>0</v>
      </c>
      <c r="F926" s="3">
        <f>Merge2[[#This Row],[Coverage]]*100</f>
        <v>92</v>
      </c>
      <c r="G926" s="1">
        <v>0.92</v>
      </c>
      <c r="H926" s="3">
        <v>181802</v>
      </c>
      <c r="I926" s="2">
        <v>0</v>
      </c>
    </row>
    <row r="927" spans="1:9" x14ac:dyDescent="0.3">
      <c r="A927" s="4" t="s">
        <v>55</v>
      </c>
      <c r="B927" s="3">
        <v>2011</v>
      </c>
      <c r="C927" s="4" t="s">
        <v>93</v>
      </c>
      <c r="D927" s="4" t="s">
        <v>5</v>
      </c>
      <c r="E927" s="3">
        <v>0</v>
      </c>
      <c r="F927" s="3">
        <f>Merge2[[#This Row],[Coverage]]*100</f>
        <v>91</v>
      </c>
      <c r="G927" s="1">
        <v>0.91</v>
      </c>
      <c r="H927" s="3">
        <v>185649</v>
      </c>
      <c r="I927" s="2">
        <v>0</v>
      </c>
    </row>
    <row r="928" spans="1:9" x14ac:dyDescent="0.3">
      <c r="A928" s="4" t="s">
        <v>55</v>
      </c>
      <c r="B928" s="3">
        <v>2012</v>
      </c>
      <c r="C928" s="4" t="s">
        <v>93</v>
      </c>
      <c r="D928" s="4" t="s">
        <v>5</v>
      </c>
      <c r="E928" s="3">
        <v>0</v>
      </c>
      <c r="F928" s="3">
        <f>Merge2[[#This Row],[Coverage]]*100</f>
        <v>92</v>
      </c>
      <c r="G928" s="1">
        <v>0.92</v>
      </c>
      <c r="H928" s="3">
        <v>189439</v>
      </c>
      <c r="I928" s="2">
        <v>0</v>
      </c>
    </row>
    <row r="929" spans="1:9" x14ac:dyDescent="0.3">
      <c r="A929" s="4" t="s">
        <v>55</v>
      </c>
      <c r="B929" s="3">
        <v>2013</v>
      </c>
      <c r="C929" s="4" t="s">
        <v>93</v>
      </c>
      <c r="D929" s="4" t="s">
        <v>5</v>
      </c>
      <c r="E929" s="3">
        <v>0</v>
      </c>
      <c r="F929" s="3">
        <f>Merge2[[#This Row],[Coverage]]*100</f>
        <v>91</v>
      </c>
      <c r="G929" s="1">
        <v>0.91</v>
      </c>
      <c r="H929" s="3">
        <v>193148</v>
      </c>
      <c r="I929" s="2">
        <v>0</v>
      </c>
    </row>
    <row r="930" spans="1:9" x14ac:dyDescent="0.3">
      <c r="A930" s="4" t="s">
        <v>55</v>
      </c>
      <c r="B930" s="3">
        <v>2014</v>
      </c>
      <c r="C930" s="4" t="s">
        <v>93</v>
      </c>
      <c r="D930" s="4" t="s">
        <v>5</v>
      </c>
      <c r="E930" s="3">
        <v>0</v>
      </c>
      <c r="F930" s="3">
        <f>Merge2[[#This Row],[Coverage]]*100</f>
        <v>92</v>
      </c>
      <c r="G930" s="1">
        <v>0.92</v>
      </c>
      <c r="H930" s="3">
        <v>196767</v>
      </c>
      <c r="I930" s="2">
        <v>0</v>
      </c>
    </row>
    <row r="931" spans="1:9" x14ac:dyDescent="0.3">
      <c r="A931" s="4" t="s">
        <v>55</v>
      </c>
      <c r="B931" s="3">
        <v>2015</v>
      </c>
      <c r="C931" s="4" t="s">
        <v>93</v>
      </c>
      <c r="D931" s="4" t="s">
        <v>5</v>
      </c>
      <c r="E931" s="3">
        <v>3</v>
      </c>
      <c r="F931" s="3">
        <f>Merge2[[#This Row],[Coverage]]*100</f>
        <v>93</v>
      </c>
      <c r="G931" s="1">
        <v>0.93</v>
      </c>
      <c r="H931" s="3">
        <v>200291</v>
      </c>
      <c r="I931" s="2">
        <v>1.497820670923806</v>
      </c>
    </row>
    <row r="932" spans="1:9" x14ac:dyDescent="0.3">
      <c r="A932" s="4" t="s">
        <v>55</v>
      </c>
      <c r="B932" s="3">
        <v>2016</v>
      </c>
      <c r="C932" s="4" t="s">
        <v>93</v>
      </c>
      <c r="D932" s="4" t="s">
        <v>5</v>
      </c>
      <c r="E932" s="3">
        <v>0</v>
      </c>
      <c r="F932" s="3">
        <f>Merge2[[#This Row],[Coverage]]*100</f>
        <v>93</v>
      </c>
      <c r="G932" s="1">
        <v>0.93</v>
      </c>
      <c r="H932" s="3">
        <v>203689</v>
      </c>
      <c r="I932" s="2">
        <v>0</v>
      </c>
    </row>
    <row r="933" spans="1:9" x14ac:dyDescent="0.3">
      <c r="A933" s="4" t="s">
        <v>55</v>
      </c>
      <c r="B933" s="3">
        <v>2017</v>
      </c>
      <c r="C933" s="4" t="s">
        <v>93</v>
      </c>
      <c r="D933" s="4" t="s">
        <v>5</v>
      </c>
      <c r="E933" s="3">
        <v>0</v>
      </c>
      <c r="F933" s="3">
        <f>Merge2[[#This Row],[Coverage]]*100</f>
        <v>90</v>
      </c>
      <c r="G933" s="1">
        <v>0.9</v>
      </c>
      <c r="H933" s="3">
        <v>206970</v>
      </c>
      <c r="I933" s="2">
        <v>0</v>
      </c>
    </row>
    <row r="934" spans="1:9" x14ac:dyDescent="0.3">
      <c r="A934" s="4" t="s">
        <v>55</v>
      </c>
      <c r="B934" s="3">
        <v>2018</v>
      </c>
      <c r="C934" s="4" t="s">
        <v>93</v>
      </c>
      <c r="D934" s="4" t="s">
        <v>5</v>
      </c>
      <c r="E934" s="3">
        <v>0</v>
      </c>
      <c r="F934" s="3">
        <f>Merge2[[#This Row],[Coverage]]*100</f>
        <v>95</v>
      </c>
      <c r="G934" s="1">
        <v>0.95</v>
      </c>
      <c r="H934" s="3">
        <v>210187</v>
      </c>
      <c r="I934" s="2">
        <v>0</v>
      </c>
    </row>
    <row r="935" spans="1:9" x14ac:dyDescent="0.3">
      <c r="A935" s="4" t="s">
        <v>55</v>
      </c>
      <c r="B935" s="3">
        <v>2019</v>
      </c>
      <c r="C935" s="4" t="s">
        <v>93</v>
      </c>
      <c r="D935" s="4" t="s">
        <v>5</v>
      </c>
      <c r="E935" s="3">
        <v>0</v>
      </c>
      <c r="F935" s="3">
        <f>Merge2[[#This Row],[Coverage]]*100</f>
        <v>95</v>
      </c>
      <c r="G935" s="1">
        <v>0.95</v>
      </c>
      <c r="H935" s="3">
        <v>213392</v>
      </c>
      <c r="I935" s="2">
        <v>0</v>
      </c>
    </row>
    <row r="936" spans="1:9" x14ac:dyDescent="0.3">
      <c r="A936" s="4" t="s">
        <v>55</v>
      </c>
      <c r="B936" s="3">
        <v>2020</v>
      </c>
      <c r="C936" s="4" t="s">
        <v>93</v>
      </c>
      <c r="D936" s="4" t="s">
        <v>5</v>
      </c>
      <c r="E936" s="3"/>
      <c r="F936" s="3">
        <f>Merge2[[#This Row],[Coverage]]*100</f>
        <v>86</v>
      </c>
      <c r="G936" s="1">
        <v>0.86</v>
      </c>
      <c r="H936" s="3">
        <v>217435</v>
      </c>
    </row>
    <row r="937" spans="1:9" x14ac:dyDescent="0.3">
      <c r="A937" s="4" t="s">
        <v>55</v>
      </c>
      <c r="B937" s="3">
        <v>2021</v>
      </c>
      <c r="C937" s="4" t="s">
        <v>93</v>
      </c>
      <c r="D937" s="4" t="s">
        <v>5</v>
      </c>
      <c r="E937" s="3">
        <v>0</v>
      </c>
      <c r="F937" s="3">
        <f>Merge2[[#This Row],[Coverage]]*100</f>
        <v>77</v>
      </c>
      <c r="G937" s="1">
        <v>0.77</v>
      </c>
      <c r="H937" s="3">
        <v>221961</v>
      </c>
      <c r="I937" s="2">
        <v>0</v>
      </c>
    </row>
    <row r="938" spans="1:9" x14ac:dyDescent="0.3">
      <c r="A938" s="4" t="s">
        <v>55</v>
      </c>
      <c r="B938" s="3">
        <v>2022</v>
      </c>
      <c r="C938" s="4" t="s">
        <v>93</v>
      </c>
      <c r="D938" s="4" t="s">
        <v>5</v>
      </c>
      <c r="E938" s="3"/>
      <c r="F938" s="3">
        <f>Merge2[[#This Row],[Coverage]]*100</f>
        <v>82</v>
      </c>
      <c r="G938" s="1">
        <v>0.82</v>
      </c>
      <c r="H938" s="3">
        <v>226305</v>
      </c>
    </row>
    <row r="939" spans="1:9" x14ac:dyDescent="0.3">
      <c r="A939" s="4" t="s">
        <v>55</v>
      </c>
      <c r="B939" s="3">
        <v>2023</v>
      </c>
      <c r="C939" s="4" t="s">
        <v>93</v>
      </c>
      <c r="D939" s="4" t="s">
        <v>5</v>
      </c>
      <c r="E939" s="3"/>
      <c r="F939" s="3">
        <f>Merge2[[#This Row],[Coverage]]*100</f>
        <v>87</v>
      </c>
      <c r="G939" s="1">
        <v>0.87</v>
      </c>
      <c r="H939" s="3">
        <v>230871</v>
      </c>
    </row>
    <row r="940" spans="1:9" x14ac:dyDescent="0.3">
      <c r="A940" s="4" t="s">
        <v>55</v>
      </c>
      <c r="B940" s="3">
        <v>2024</v>
      </c>
      <c r="C940" s="4" t="s">
        <v>93</v>
      </c>
      <c r="D940" s="4" t="s">
        <v>5</v>
      </c>
      <c r="E940" s="3"/>
      <c r="F940" s="3">
        <f>Merge2[[#This Row],[Coverage]]*100</f>
        <v>87</v>
      </c>
      <c r="G940" s="1">
        <v>0.87</v>
      </c>
      <c r="H940" s="3">
        <v>235536</v>
      </c>
    </row>
    <row r="941" spans="1:9" x14ac:dyDescent="0.3">
      <c r="A941" s="4" t="s">
        <v>35</v>
      </c>
      <c r="B941" s="3">
        <v>2000</v>
      </c>
      <c r="C941" s="4" t="s">
        <v>94</v>
      </c>
      <c r="D941" s="4" t="s">
        <v>5</v>
      </c>
      <c r="E941" s="3">
        <v>10</v>
      </c>
      <c r="F941" s="3">
        <f>Merge2[[#This Row],[Coverage]]*100</f>
        <v>92</v>
      </c>
      <c r="G941" s="1">
        <v>0.92</v>
      </c>
      <c r="H941" s="3">
        <v>1041414</v>
      </c>
      <c r="I941" s="2">
        <v>0.96023291409564304</v>
      </c>
    </row>
    <row r="942" spans="1:9" x14ac:dyDescent="0.3">
      <c r="A942" s="4" t="s">
        <v>35</v>
      </c>
      <c r="B942" s="3">
        <v>2001</v>
      </c>
      <c r="C942" s="4" t="s">
        <v>94</v>
      </c>
      <c r="D942" s="4" t="s">
        <v>5</v>
      </c>
      <c r="E942" s="3">
        <v>49</v>
      </c>
      <c r="F942" s="3">
        <f>Merge2[[#This Row],[Coverage]]*100</f>
        <v>93</v>
      </c>
      <c r="G942" s="1">
        <v>0.93</v>
      </c>
      <c r="H942" s="3">
        <v>1051064</v>
      </c>
      <c r="I942" s="2">
        <v>4.6619425648676014</v>
      </c>
    </row>
    <row r="943" spans="1:9" x14ac:dyDescent="0.3">
      <c r="A943" s="4" t="s">
        <v>35</v>
      </c>
      <c r="B943" s="3">
        <v>2002</v>
      </c>
      <c r="C943" s="4" t="s">
        <v>94</v>
      </c>
      <c r="D943" s="4" t="s">
        <v>5</v>
      </c>
      <c r="E943" s="3">
        <v>37</v>
      </c>
      <c r="F943" s="3">
        <f>Merge2[[#This Row],[Coverage]]*100</f>
        <v>93</v>
      </c>
      <c r="G943" s="1">
        <v>0.93</v>
      </c>
      <c r="H943" s="3">
        <v>1059441</v>
      </c>
      <c r="I943" s="2">
        <v>3.4924077886357052</v>
      </c>
    </row>
    <row r="944" spans="1:9" x14ac:dyDescent="0.3">
      <c r="A944" s="4" t="s">
        <v>35</v>
      </c>
      <c r="B944" s="3">
        <v>2003</v>
      </c>
      <c r="C944" s="4" t="s">
        <v>94</v>
      </c>
      <c r="D944" s="4" t="s">
        <v>5</v>
      </c>
      <c r="E944" s="3">
        <v>350</v>
      </c>
      <c r="F944" s="3">
        <f>Merge2[[#This Row],[Coverage]]*100</f>
        <v>93</v>
      </c>
      <c r="G944" s="1">
        <v>0.93</v>
      </c>
      <c r="H944" s="3">
        <v>1066700</v>
      </c>
      <c r="I944" s="2">
        <v>32.811474641417455</v>
      </c>
    </row>
    <row r="945" spans="1:9" x14ac:dyDescent="0.3">
      <c r="A945" s="4" t="s">
        <v>35</v>
      </c>
      <c r="B945" s="3">
        <v>2004</v>
      </c>
      <c r="C945" s="4" t="s">
        <v>94</v>
      </c>
      <c r="D945" s="4" t="s">
        <v>5</v>
      </c>
      <c r="E945" s="3">
        <v>0</v>
      </c>
      <c r="F945" s="3">
        <f>Merge2[[#This Row],[Coverage]]*100</f>
        <v>93</v>
      </c>
      <c r="G945" s="1">
        <v>0.93</v>
      </c>
      <c r="H945" s="3">
        <v>1073159</v>
      </c>
      <c r="I945" s="2">
        <v>0</v>
      </c>
    </row>
    <row r="946" spans="1:9" x14ac:dyDescent="0.3">
      <c r="A946" s="4" t="s">
        <v>35</v>
      </c>
      <c r="B946" s="3">
        <v>2005</v>
      </c>
      <c r="C946" s="4" t="s">
        <v>94</v>
      </c>
      <c r="D946" s="4" t="s">
        <v>5</v>
      </c>
      <c r="E946" s="3">
        <v>0</v>
      </c>
      <c r="F946" s="3">
        <f>Merge2[[#This Row],[Coverage]]*100</f>
        <v>93</v>
      </c>
      <c r="G946" s="1">
        <v>0.93</v>
      </c>
      <c r="H946" s="3">
        <v>1079022</v>
      </c>
      <c r="I946" s="2">
        <v>0</v>
      </c>
    </row>
    <row r="947" spans="1:9" x14ac:dyDescent="0.3">
      <c r="A947" s="4" t="s">
        <v>35</v>
      </c>
      <c r="B947" s="3">
        <v>2006</v>
      </c>
      <c r="C947" s="4" t="s">
        <v>94</v>
      </c>
      <c r="D947" s="4" t="s">
        <v>5</v>
      </c>
      <c r="E947" s="3">
        <v>0</v>
      </c>
      <c r="F947" s="3">
        <f>Merge2[[#This Row],[Coverage]]*100</f>
        <v>93</v>
      </c>
      <c r="G947" s="1">
        <v>0.93</v>
      </c>
      <c r="H947" s="3">
        <v>1084436</v>
      </c>
      <c r="I947" s="2">
        <v>0</v>
      </c>
    </row>
    <row r="948" spans="1:9" x14ac:dyDescent="0.3">
      <c r="A948" s="4" t="s">
        <v>35</v>
      </c>
      <c r="B948" s="3">
        <v>2007</v>
      </c>
      <c r="C948" s="4" t="s">
        <v>94</v>
      </c>
      <c r="D948" s="4" t="s">
        <v>5</v>
      </c>
      <c r="E948" s="3">
        <v>0</v>
      </c>
      <c r="F948" s="3">
        <f>Merge2[[#This Row],[Coverage]]*100</f>
        <v>94</v>
      </c>
      <c r="G948" s="1">
        <v>0.94</v>
      </c>
      <c r="H948" s="3">
        <v>1090705</v>
      </c>
      <c r="I948" s="2">
        <v>0</v>
      </c>
    </row>
    <row r="949" spans="1:9" x14ac:dyDescent="0.3">
      <c r="A949" s="4" t="s">
        <v>35</v>
      </c>
      <c r="B949" s="3">
        <v>2008</v>
      </c>
      <c r="C949" s="4" t="s">
        <v>94</v>
      </c>
      <c r="D949" s="4" t="s">
        <v>5</v>
      </c>
      <c r="E949" s="3">
        <v>1</v>
      </c>
      <c r="F949" s="3">
        <f>Merge2[[#This Row],[Coverage]]*100</f>
        <v>94</v>
      </c>
      <c r="G949" s="1">
        <v>0.94</v>
      </c>
      <c r="H949" s="3">
        <v>1098091</v>
      </c>
      <c r="I949" s="2">
        <v>9.1067133780351542E-2</v>
      </c>
    </row>
    <row r="950" spans="1:9" x14ac:dyDescent="0.3">
      <c r="A950" s="4" t="s">
        <v>35</v>
      </c>
      <c r="B950" s="3">
        <v>2009</v>
      </c>
      <c r="C950" s="4" t="s">
        <v>94</v>
      </c>
      <c r="D950" s="4" t="s">
        <v>5</v>
      </c>
      <c r="E950" s="3">
        <v>26</v>
      </c>
      <c r="F950" s="3">
        <f>Merge2[[#This Row],[Coverage]]*100</f>
        <v>94</v>
      </c>
      <c r="G950" s="1">
        <v>0.94</v>
      </c>
      <c r="H950" s="3">
        <v>1105153</v>
      </c>
      <c r="I950" s="2">
        <v>2.3526154297187811</v>
      </c>
    </row>
    <row r="951" spans="1:9" x14ac:dyDescent="0.3">
      <c r="A951" s="4" t="s">
        <v>35</v>
      </c>
      <c r="B951" s="3">
        <v>2010</v>
      </c>
      <c r="C951" s="4" t="s">
        <v>94</v>
      </c>
      <c r="D951" s="4" t="s">
        <v>5</v>
      </c>
      <c r="E951" s="3">
        <v>313</v>
      </c>
      <c r="F951" s="3">
        <f>Merge2[[#This Row],[Coverage]]*100</f>
        <v>94</v>
      </c>
      <c r="G951" s="1">
        <v>0.94</v>
      </c>
      <c r="H951" s="3">
        <v>1111650</v>
      </c>
      <c r="I951" s="2">
        <v>28.156344173076057</v>
      </c>
    </row>
    <row r="952" spans="1:9" x14ac:dyDescent="0.3">
      <c r="A952" s="4" t="s">
        <v>35</v>
      </c>
      <c r="B952" s="3">
        <v>2011</v>
      </c>
      <c r="C952" s="4" t="s">
        <v>94</v>
      </c>
      <c r="D952" s="4" t="s">
        <v>5</v>
      </c>
      <c r="E952" s="3">
        <v>0</v>
      </c>
      <c r="F952" s="3">
        <f>Merge2[[#This Row],[Coverage]]*100</f>
        <v>87</v>
      </c>
      <c r="G952" s="1">
        <v>0.87</v>
      </c>
      <c r="H952" s="3">
        <v>1117833</v>
      </c>
      <c r="I952" s="2">
        <v>0</v>
      </c>
    </row>
    <row r="953" spans="1:9" x14ac:dyDescent="0.3">
      <c r="A953" s="4" t="s">
        <v>35</v>
      </c>
      <c r="B953" s="3">
        <v>2012</v>
      </c>
      <c r="C953" s="4" t="s">
        <v>94</v>
      </c>
      <c r="D953" s="4" t="s">
        <v>5</v>
      </c>
      <c r="E953" s="3">
        <v>0</v>
      </c>
      <c r="F953" s="3">
        <f>Merge2[[#This Row],[Coverage]]*100</f>
        <v>88</v>
      </c>
      <c r="G953" s="1">
        <v>0.88</v>
      </c>
      <c r="H953" s="3">
        <v>1123863</v>
      </c>
      <c r="I953" s="2">
        <v>0</v>
      </c>
    </row>
    <row r="954" spans="1:9" x14ac:dyDescent="0.3">
      <c r="A954" s="4" t="s">
        <v>35</v>
      </c>
      <c r="B954" s="3">
        <v>2013</v>
      </c>
      <c r="C954" s="4" t="s">
        <v>94</v>
      </c>
      <c r="D954" s="4" t="s">
        <v>5</v>
      </c>
      <c r="E954" s="3">
        <v>0</v>
      </c>
      <c r="F954" s="3">
        <f>Merge2[[#This Row],[Coverage]]*100</f>
        <v>97</v>
      </c>
      <c r="G954" s="1">
        <v>0.97</v>
      </c>
      <c r="H954" s="3">
        <v>1129990</v>
      </c>
      <c r="I954" s="2">
        <v>0</v>
      </c>
    </row>
    <row r="955" spans="1:9" x14ac:dyDescent="0.3">
      <c r="A955" s="4" t="s">
        <v>35</v>
      </c>
      <c r="B955" s="3">
        <v>2014</v>
      </c>
      <c r="C955" s="4" t="s">
        <v>94</v>
      </c>
      <c r="D955" s="4" t="s">
        <v>5</v>
      </c>
      <c r="E955" s="3">
        <v>0</v>
      </c>
      <c r="F955" s="3">
        <f>Merge2[[#This Row],[Coverage]]*100</f>
        <v>97</v>
      </c>
      <c r="G955" s="1">
        <v>0.97</v>
      </c>
      <c r="H955" s="3">
        <v>1136299</v>
      </c>
      <c r="I955" s="2">
        <v>0</v>
      </c>
    </row>
    <row r="956" spans="1:9" x14ac:dyDescent="0.3">
      <c r="A956" s="4" t="s">
        <v>35</v>
      </c>
      <c r="B956" s="3">
        <v>2015</v>
      </c>
      <c r="C956" s="4" t="s">
        <v>94</v>
      </c>
      <c r="D956" s="4" t="s">
        <v>5</v>
      </c>
      <c r="E956" s="3">
        <v>0</v>
      </c>
      <c r="F956" s="3">
        <f>Merge2[[#This Row],[Coverage]]*100</f>
        <v>89</v>
      </c>
      <c r="G956" s="1">
        <v>0.89</v>
      </c>
      <c r="H956" s="3">
        <v>1142813</v>
      </c>
      <c r="I956" s="2">
        <v>0</v>
      </c>
    </row>
    <row r="957" spans="1:9" x14ac:dyDescent="0.3">
      <c r="A957" s="4" t="s">
        <v>35</v>
      </c>
      <c r="B957" s="3">
        <v>2016</v>
      </c>
      <c r="C957" s="4" t="s">
        <v>94</v>
      </c>
      <c r="D957" s="4" t="s">
        <v>5</v>
      </c>
      <c r="E957" s="3">
        <v>1</v>
      </c>
      <c r="F957" s="3">
        <f>Merge2[[#This Row],[Coverage]]*100</f>
        <v>89</v>
      </c>
      <c r="G957" s="1">
        <v>0.89</v>
      </c>
      <c r="H957" s="3">
        <v>1149507</v>
      </c>
      <c r="I957" s="2">
        <v>8.699381560964832E-2</v>
      </c>
    </row>
    <row r="958" spans="1:9" x14ac:dyDescent="0.3">
      <c r="A958" s="4" t="s">
        <v>35</v>
      </c>
      <c r="B958" s="3">
        <v>2017</v>
      </c>
      <c r="C958" s="4" t="s">
        <v>94</v>
      </c>
      <c r="D958" s="4" t="s">
        <v>5</v>
      </c>
      <c r="E958" s="3">
        <v>0</v>
      </c>
      <c r="F958" s="3">
        <f>Merge2[[#This Row],[Coverage]]*100</f>
        <v>89</v>
      </c>
      <c r="G958" s="1">
        <v>0.89</v>
      </c>
      <c r="H958" s="3">
        <v>1158195</v>
      </c>
      <c r="I958" s="2">
        <v>0</v>
      </c>
    </row>
    <row r="959" spans="1:9" x14ac:dyDescent="0.3">
      <c r="A959" s="4" t="s">
        <v>35</v>
      </c>
      <c r="B959" s="3">
        <v>2018</v>
      </c>
      <c r="C959" s="4" t="s">
        <v>94</v>
      </c>
      <c r="D959" s="4" t="s">
        <v>5</v>
      </c>
      <c r="E959" s="3">
        <v>0</v>
      </c>
      <c r="F959" s="3">
        <f>Merge2[[#This Row],[Coverage]]*100</f>
        <v>85</v>
      </c>
      <c r="G959" s="1">
        <v>0.85</v>
      </c>
      <c r="H959" s="3">
        <v>1168929</v>
      </c>
      <c r="I959" s="2">
        <v>0</v>
      </c>
    </row>
    <row r="960" spans="1:9" x14ac:dyDescent="0.3">
      <c r="A960" s="4" t="s">
        <v>35</v>
      </c>
      <c r="B960" s="3">
        <v>2019</v>
      </c>
      <c r="C960" s="4" t="s">
        <v>94</v>
      </c>
      <c r="D960" s="4" t="s">
        <v>5</v>
      </c>
      <c r="E960" s="3">
        <v>0</v>
      </c>
      <c r="F960" s="3">
        <f>Merge2[[#This Row],[Coverage]]*100</f>
        <v>81</v>
      </c>
      <c r="G960" s="1">
        <v>0.81</v>
      </c>
      <c r="H960" s="3">
        <v>1179874</v>
      </c>
      <c r="I960" s="2">
        <v>0</v>
      </c>
    </row>
    <row r="961" spans="1:9" x14ac:dyDescent="0.3">
      <c r="A961" s="4" t="s">
        <v>35</v>
      </c>
      <c r="B961" s="3">
        <v>2020</v>
      </c>
      <c r="C961" s="4" t="s">
        <v>94</v>
      </c>
      <c r="D961" s="4" t="s">
        <v>5</v>
      </c>
      <c r="E961" s="3">
        <v>0</v>
      </c>
      <c r="F961" s="3">
        <f>Merge2[[#This Row],[Coverage]]*100</f>
        <v>76</v>
      </c>
      <c r="G961" s="1">
        <v>0.76</v>
      </c>
      <c r="H961" s="3">
        <v>1192729</v>
      </c>
      <c r="I961" s="2">
        <v>0</v>
      </c>
    </row>
    <row r="962" spans="1:9" x14ac:dyDescent="0.3">
      <c r="A962" s="4" t="s">
        <v>35</v>
      </c>
      <c r="B962" s="3">
        <v>2021</v>
      </c>
      <c r="C962" s="4" t="s">
        <v>94</v>
      </c>
      <c r="D962" s="4" t="s">
        <v>5</v>
      </c>
      <c r="E962" s="3">
        <v>0</v>
      </c>
      <c r="F962" s="3">
        <f>Merge2[[#This Row],[Coverage]]*100</f>
        <v>80</v>
      </c>
      <c r="G962" s="1">
        <v>0.8</v>
      </c>
      <c r="H962" s="3">
        <v>1206593</v>
      </c>
      <c r="I962" s="2">
        <v>0</v>
      </c>
    </row>
    <row r="963" spans="1:9" x14ac:dyDescent="0.3">
      <c r="A963" s="4" t="s">
        <v>35</v>
      </c>
      <c r="B963" s="3">
        <v>2022</v>
      </c>
      <c r="C963" s="4" t="s">
        <v>94</v>
      </c>
      <c r="D963" s="4" t="s">
        <v>5</v>
      </c>
      <c r="E963" s="3">
        <v>64</v>
      </c>
      <c r="F963" s="3">
        <f>Merge2[[#This Row],[Coverage]]*100</f>
        <v>83</v>
      </c>
      <c r="G963" s="1">
        <v>0.83</v>
      </c>
      <c r="H963" s="3">
        <v>1218917</v>
      </c>
      <c r="I963" s="2">
        <v>5.2505625895774699</v>
      </c>
    </row>
    <row r="964" spans="1:9" x14ac:dyDescent="0.3">
      <c r="A964" s="4" t="s">
        <v>35</v>
      </c>
      <c r="B964" s="3">
        <v>2023</v>
      </c>
      <c r="C964" s="4" t="s">
        <v>94</v>
      </c>
      <c r="D964" s="4" t="s">
        <v>5</v>
      </c>
      <c r="E964" s="3">
        <v>3</v>
      </c>
      <c r="F964" s="3">
        <f>Merge2[[#This Row],[Coverage]]*100</f>
        <v>85</v>
      </c>
      <c r="G964" s="1">
        <v>0.85</v>
      </c>
      <c r="H964" s="3">
        <v>1230506</v>
      </c>
      <c r="I964" s="2">
        <v>0.24380214318337334</v>
      </c>
    </row>
    <row r="965" spans="1:9" x14ac:dyDescent="0.3">
      <c r="A965" s="4" t="s">
        <v>35</v>
      </c>
      <c r="B965" s="3">
        <v>2024</v>
      </c>
      <c r="C965" s="4" t="s">
        <v>94</v>
      </c>
      <c r="D965" s="4" t="s">
        <v>5</v>
      </c>
      <c r="E965" s="3">
        <v>0</v>
      </c>
      <c r="F965" s="3">
        <f>Merge2[[#This Row],[Coverage]]*100</f>
        <v>85</v>
      </c>
      <c r="G965" s="1">
        <v>0.85</v>
      </c>
      <c r="H965" s="3">
        <v>1242822</v>
      </c>
      <c r="I965" s="2">
        <v>0</v>
      </c>
    </row>
    <row r="966" spans="1:9" x14ac:dyDescent="0.3">
      <c r="A966" s="4" t="s">
        <v>57</v>
      </c>
      <c r="B966" s="3">
        <v>2000</v>
      </c>
      <c r="C966" s="4" t="s">
        <v>95</v>
      </c>
      <c r="D966" s="4" t="s">
        <v>5</v>
      </c>
      <c r="E966" s="3"/>
      <c r="F966" s="3">
        <f>Merge2[[#This Row],[Coverage]]*100</f>
        <v>97</v>
      </c>
      <c r="G966" s="1">
        <v>0.97</v>
      </c>
      <c r="H966" s="3">
        <v>81131</v>
      </c>
    </row>
    <row r="967" spans="1:9" x14ac:dyDescent="0.3">
      <c r="A967" s="4" t="s">
        <v>57</v>
      </c>
      <c r="B967" s="3">
        <v>2001</v>
      </c>
      <c r="C967" s="4" t="s">
        <v>95</v>
      </c>
      <c r="D967" s="4" t="s">
        <v>5</v>
      </c>
      <c r="E967" s="3">
        <v>0</v>
      </c>
      <c r="F967" s="3">
        <f>Merge2[[#This Row],[Coverage]]*100</f>
        <v>95</v>
      </c>
      <c r="G967" s="1">
        <v>0.95</v>
      </c>
      <c r="H967" s="3">
        <v>81202</v>
      </c>
      <c r="I967" s="2">
        <v>0</v>
      </c>
    </row>
    <row r="968" spans="1:9" x14ac:dyDescent="0.3">
      <c r="A968" s="4" t="s">
        <v>57</v>
      </c>
      <c r="B968" s="3">
        <v>2002</v>
      </c>
      <c r="C968" s="4" t="s">
        <v>95</v>
      </c>
      <c r="D968" s="4" t="s">
        <v>5</v>
      </c>
      <c r="E968" s="3">
        <v>0</v>
      </c>
      <c r="F968" s="3">
        <f>Merge2[[#This Row],[Coverage]]*100</f>
        <v>98</v>
      </c>
      <c r="G968" s="1">
        <v>0.98</v>
      </c>
      <c r="H968" s="3">
        <v>83723</v>
      </c>
      <c r="I968" s="2">
        <v>0</v>
      </c>
    </row>
    <row r="969" spans="1:9" x14ac:dyDescent="0.3">
      <c r="A969" s="4" t="s">
        <v>57</v>
      </c>
      <c r="B969" s="3">
        <v>2003</v>
      </c>
      <c r="C969" s="4" t="s">
        <v>95</v>
      </c>
      <c r="D969" s="4" t="s">
        <v>5</v>
      </c>
      <c r="E969" s="3">
        <v>0</v>
      </c>
      <c r="F969" s="3">
        <f>Merge2[[#This Row],[Coverage]]*100</f>
        <v>99</v>
      </c>
      <c r="G969" s="1">
        <v>0.99</v>
      </c>
      <c r="H969" s="3">
        <v>82781</v>
      </c>
      <c r="I969" s="2">
        <v>0</v>
      </c>
    </row>
    <row r="970" spans="1:9" x14ac:dyDescent="0.3">
      <c r="A970" s="4" t="s">
        <v>57</v>
      </c>
      <c r="B970" s="3">
        <v>2004</v>
      </c>
      <c r="C970" s="4" t="s">
        <v>95</v>
      </c>
      <c r="D970" s="4" t="s">
        <v>5</v>
      </c>
      <c r="E970" s="3">
        <v>0</v>
      </c>
      <c r="F970" s="3">
        <f>Merge2[[#This Row],[Coverage]]*100</f>
        <v>99</v>
      </c>
      <c r="G970" s="1">
        <v>0.99</v>
      </c>
      <c r="H970" s="3">
        <v>82475</v>
      </c>
      <c r="I970" s="2">
        <v>0</v>
      </c>
    </row>
    <row r="971" spans="1:9" x14ac:dyDescent="0.3">
      <c r="A971" s="4" t="s">
        <v>57</v>
      </c>
      <c r="B971" s="3">
        <v>2005</v>
      </c>
      <c r="C971" s="4" t="s">
        <v>95</v>
      </c>
      <c r="D971" s="4" t="s">
        <v>5</v>
      </c>
      <c r="E971" s="3">
        <v>0</v>
      </c>
      <c r="F971" s="3">
        <f>Merge2[[#This Row],[Coverage]]*100</f>
        <v>99</v>
      </c>
      <c r="G971" s="1">
        <v>0.99</v>
      </c>
      <c r="H971" s="3">
        <v>82858</v>
      </c>
      <c r="I971" s="2">
        <v>0</v>
      </c>
    </row>
    <row r="972" spans="1:9" x14ac:dyDescent="0.3">
      <c r="A972" s="4" t="s">
        <v>57</v>
      </c>
      <c r="B972" s="3">
        <v>2006</v>
      </c>
      <c r="C972" s="4" t="s">
        <v>95</v>
      </c>
      <c r="D972" s="4" t="s">
        <v>5</v>
      </c>
      <c r="E972" s="3">
        <v>10</v>
      </c>
      <c r="F972" s="3">
        <f>Merge2[[#This Row],[Coverage]]*100</f>
        <v>99</v>
      </c>
      <c r="G972" s="1">
        <v>0.99</v>
      </c>
      <c r="H972" s="3">
        <v>84600</v>
      </c>
      <c r="I972" s="2">
        <v>11.82033096926714</v>
      </c>
    </row>
    <row r="973" spans="1:9" x14ac:dyDescent="0.3">
      <c r="A973" s="4" t="s">
        <v>57</v>
      </c>
      <c r="B973" s="3">
        <v>2007</v>
      </c>
      <c r="C973" s="4" t="s">
        <v>95</v>
      </c>
      <c r="D973" s="4" t="s">
        <v>5</v>
      </c>
      <c r="E973" s="3">
        <v>1</v>
      </c>
      <c r="F973" s="3">
        <f>Merge2[[#This Row],[Coverage]]*100</f>
        <v>99</v>
      </c>
      <c r="G973" s="1">
        <v>0.99</v>
      </c>
      <c r="H973" s="3">
        <v>85033</v>
      </c>
      <c r="I973" s="2">
        <v>1.1760140180870955</v>
      </c>
    </row>
    <row r="974" spans="1:9" x14ac:dyDescent="0.3">
      <c r="A974" s="4" t="s">
        <v>57</v>
      </c>
      <c r="B974" s="3">
        <v>2008</v>
      </c>
      <c r="C974" s="4" t="s">
        <v>95</v>
      </c>
      <c r="D974" s="4" t="s">
        <v>5</v>
      </c>
      <c r="E974" s="3">
        <v>0</v>
      </c>
      <c r="F974" s="3">
        <f>Merge2[[#This Row],[Coverage]]*100</f>
        <v>99</v>
      </c>
      <c r="G974" s="1">
        <v>0.99</v>
      </c>
      <c r="H974" s="3">
        <v>86956</v>
      </c>
      <c r="I974" s="2">
        <v>0</v>
      </c>
    </row>
    <row r="975" spans="1:9" x14ac:dyDescent="0.3">
      <c r="A975" s="4" t="s">
        <v>57</v>
      </c>
      <c r="B975" s="3">
        <v>2009</v>
      </c>
      <c r="C975" s="4" t="s">
        <v>95</v>
      </c>
      <c r="D975" s="4" t="s">
        <v>5</v>
      </c>
      <c r="E975" s="3">
        <v>0</v>
      </c>
      <c r="F975" s="3">
        <f>Merge2[[#This Row],[Coverage]]*100</f>
        <v>97</v>
      </c>
      <c r="G975" s="1">
        <v>0.97</v>
      </c>
      <c r="H975" s="3">
        <v>87298</v>
      </c>
      <c r="I975" s="2">
        <v>0</v>
      </c>
    </row>
    <row r="976" spans="1:9" x14ac:dyDescent="0.3">
      <c r="A976" s="4" t="s">
        <v>57</v>
      </c>
      <c r="B976" s="3">
        <v>2010</v>
      </c>
      <c r="C976" s="4" t="s">
        <v>95</v>
      </c>
      <c r="D976" s="4" t="s">
        <v>5</v>
      </c>
      <c r="E976" s="3">
        <v>0</v>
      </c>
      <c r="F976" s="3">
        <f>Merge2[[#This Row],[Coverage]]*100</f>
        <v>99</v>
      </c>
      <c r="G976" s="1">
        <v>0.99</v>
      </c>
      <c r="H976" s="3">
        <v>89770</v>
      </c>
      <c r="I976" s="2">
        <v>0</v>
      </c>
    </row>
    <row r="977" spans="1:9" x14ac:dyDescent="0.3">
      <c r="A977" s="4" t="s">
        <v>57</v>
      </c>
      <c r="B977" s="3">
        <v>2011</v>
      </c>
      <c r="C977" s="4" t="s">
        <v>95</v>
      </c>
      <c r="D977" s="4" t="s">
        <v>5</v>
      </c>
      <c r="E977" s="3">
        <v>0</v>
      </c>
      <c r="F977" s="3">
        <f>Merge2[[#This Row],[Coverage]]*100</f>
        <v>99</v>
      </c>
      <c r="G977" s="1">
        <v>0.99</v>
      </c>
      <c r="H977" s="3">
        <v>87441</v>
      </c>
      <c r="I977" s="2">
        <v>0</v>
      </c>
    </row>
    <row r="978" spans="1:9" x14ac:dyDescent="0.3">
      <c r="A978" s="4" t="s">
        <v>57</v>
      </c>
      <c r="B978" s="3">
        <v>2012</v>
      </c>
      <c r="C978" s="4" t="s">
        <v>95</v>
      </c>
      <c r="D978" s="4" t="s">
        <v>5</v>
      </c>
      <c r="E978" s="3">
        <v>0</v>
      </c>
      <c r="F978" s="3">
        <f>Merge2[[#This Row],[Coverage]]*100</f>
        <v>98</v>
      </c>
      <c r="G978" s="1">
        <v>0.98</v>
      </c>
      <c r="H978" s="3">
        <v>88303</v>
      </c>
      <c r="I978" s="2">
        <v>0</v>
      </c>
    </row>
    <row r="979" spans="1:9" x14ac:dyDescent="0.3">
      <c r="A979" s="4" t="s">
        <v>57</v>
      </c>
      <c r="B979" s="3">
        <v>2013</v>
      </c>
      <c r="C979" s="4" t="s">
        <v>95</v>
      </c>
      <c r="D979" s="4" t="s">
        <v>5</v>
      </c>
      <c r="E979" s="3">
        <v>0</v>
      </c>
      <c r="F979" s="3">
        <f>Merge2[[#This Row],[Coverage]]*100</f>
        <v>97</v>
      </c>
      <c r="G979" s="1">
        <v>0.97</v>
      </c>
      <c r="H979" s="3">
        <v>89949</v>
      </c>
      <c r="I979" s="2">
        <v>0</v>
      </c>
    </row>
    <row r="980" spans="1:9" x14ac:dyDescent="0.3">
      <c r="A980" s="4" t="s">
        <v>57</v>
      </c>
      <c r="B980" s="3">
        <v>2014</v>
      </c>
      <c r="C980" s="4" t="s">
        <v>95</v>
      </c>
      <c r="D980" s="4" t="s">
        <v>5</v>
      </c>
      <c r="E980" s="3">
        <v>0</v>
      </c>
      <c r="F980" s="3">
        <f>Merge2[[#This Row],[Coverage]]*100</f>
        <v>99</v>
      </c>
      <c r="G980" s="1">
        <v>0.99</v>
      </c>
      <c r="H980" s="3">
        <v>91359</v>
      </c>
      <c r="I980" s="2">
        <v>0</v>
      </c>
    </row>
    <row r="981" spans="1:9" x14ac:dyDescent="0.3">
      <c r="A981" s="4" t="s">
        <v>57</v>
      </c>
      <c r="B981" s="3">
        <v>2015</v>
      </c>
      <c r="C981" s="4" t="s">
        <v>95</v>
      </c>
      <c r="D981" s="4" t="s">
        <v>5</v>
      </c>
      <c r="E981" s="3">
        <v>0</v>
      </c>
      <c r="F981" s="3">
        <f>Merge2[[#This Row],[Coverage]]*100</f>
        <v>98</v>
      </c>
      <c r="G981" s="1">
        <v>0.98</v>
      </c>
      <c r="H981" s="3">
        <v>93419</v>
      </c>
      <c r="I981" s="2">
        <v>0</v>
      </c>
    </row>
    <row r="982" spans="1:9" x14ac:dyDescent="0.3">
      <c r="A982" s="4" t="s">
        <v>57</v>
      </c>
      <c r="B982" s="3">
        <v>2016</v>
      </c>
      <c r="C982" s="4" t="s">
        <v>95</v>
      </c>
      <c r="D982" s="4" t="s">
        <v>5</v>
      </c>
      <c r="E982" s="3">
        <v>0</v>
      </c>
      <c r="F982" s="3">
        <f>Merge2[[#This Row],[Coverage]]*100</f>
        <v>97</v>
      </c>
      <c r="G982" s="1">
        <v>0.97</v>
      </c>
      <c r="H982" s="3">
        <v>94677</v>
      </c>
      <c r="I982" s="2">
        <v>0</v>
      </c>
    </row>
    <row r="983" spans="1:9" x14ac:dyDescent="0.3">
      <c r="A983" s="4" t="s">
        <v>57</v>
      </c>
      <c r="B983" s="3">
        <v>2017</v>
      </c>
      <c r="C983" s="4" t="s">
        <v>95</v>
      </c>
      <c r="D983" s="4" t="s">
        <v>5</v>
      </c>
      <c r="E983" s="3">
        <v>0</v>
      </c>
      <c r="F983" s="3">
        <f>Merge2[[#This Row],[Coverage]]*100</f>
        <v>99</v>
      </c>
      <c r="G983" s="1">
        <v>0.99</v>
      </c>
      <c r="H983" s="3">
        <v>95843</v>
      </c>
      <c r="I983" s="2">
        <v>0</v>
      </c>
    </row>
    <row r="984" spans="1:9" x14ac:dyDescent="0.3">
      <c r="A984" s="4" t="s">
        <v>57</v>
      </c>
      <c r="B984" s="3">
        <v>2018</v>
      </c>
      <c r="C984" s="4" t="s">
        <v>95</v>
      </c>
      <c r="D984" s="4" t="s">
        <v>5</v>
      </c>
      <c r="E984" s="3"/>
      <c r="F984" s="3">
        <f>Merge2[[#This Row],[Coverage]]*100</f>
        <v>96</v>
      </c>
      <c r="G984" s="1">
        <v>0.96</v>
      </c>
      <c r="H984" s="3">
        <v>96762</v>
      </c>
    </row>
    <row r="985" spans="1:9" x14ac:dyDescent="0.3">
      <c r="A985" s="4" t="s">
        <v>57</v>
      </c>
      <c r="B985" s="3">
        <v>2019</v>
      </c>
      <c r="C985" s="4" t="s">
        <v>95</v>
      </c>
      <c r="D985" s="4" t="s">
        <v>5</v>
      </c>
      <c r="E985" s="3">
        <v>0</v>
      </c>
      <c r="F985" s="3">
        <f>Merge2[[#This Row],[Coverage]]*100</f>
        <v>99</v>
      </c>
      <c r="G985" s="1">
        <v>0.99</v>
      </c>
      <c r="H985" s="3">
        <v>97625</v>
      </c>
      <c r="I985" s="2">
        <v>0</v>
      </c>
    </row>
    <row r="986" spans="1:9" x14ac:dyDescent="0.3">
      <c r="A986" s="4" t="s">
        <v>57</v>
      </c>
      <c r="B986" s="3">
        <v>2020</v>
      </c>
      <c r="C986" s="4" t="s">
        <v>95</v>
      </c>
      <c r="D986" s="4" t="s">
        <v>5</v>
      </c>
      <c r="E986" s="3">
        <v>27</v>
      </c>
      <c r="F986" s="3">
        <f>Merge2[[#This Row],[Coverage]]*100</f>
        <v>97</v>
      </c>
      <c r="G986" s="1">
        <v>0.97</v>
      </c>
      <c r="H986" s="3">
        <v>98462</v>
      </c>
      <c r="I986" s="2">
        <v>27.421746460563465</v>
      </c>
    </row>
    <row r="987" spans="1:9" x14ac:dyDescent="0.3">
      <c r="A987" s="4" t="s">
        <v>57</v>
      </c>
      <c r="B987" s="3">
        <v>2021</v>
      </c>
      <c r="C987" s="4" t="s">
        <v>95</v>
      </c>
      <c r="D987" s="4" t="s">
        <v>5</v>
      </c>
      <c r="E987" s="3">
        <v>0</v>
      </c>
      <c r="F987" s="3">
        <f>Merge2[[#This Row],[Coverage]]*100</f>
        <v>94</v>
      </c>
      <c r="G987" s="1">
        <v>0.94</v>
      </c>
      <c r="H987" s="3">
        <v>99258</v>
      </c>
      <c r="I987" s="2">
        <v>0</v>
      </c>
    </row>
    <row r="988" spans="1:9" x14ac:dyDescent="0.3">
      <c r="A988" s="4" t="s">
        <v>57</v>
      </c>
      <c r="B988" s="3">
        <v>2022</v>
      </c>
      <c r="C988" s="4" t="s">
        <v>95</v>
      </c>
      <c r="D988" s="4" t="s">
        <v>5</v>
      </c>
      <c r="E988" s="3">
        <v>0</v>
      </c>
      <c r="F988" s="3">
        <f>Merge2[[#This Row],[Coverage]]*100</f>
        <v>98</v>
      </c>
      <c r="G988" s="1">
        <v>0.98</v>
      </c>
      <c r="H988" s="3">
        <v>119878</v>
      </c>
      <c r="I988" s="2">
        <v>0</v>
      </c>
    </row>
    <row r="989" spans="1:9" x14ac:dyDescent="0.3">
      <c r="A989" s="4" t="s">
        <v>57</v>
      </c>
      <c r="B989" s="3">
        <v>2023</v>
      </c>
      <c r="C989" s="4" t="s">
        <v>95</v>
      </c>
      <c r="D989" s="4" t="s">
        <v>5</v>
      </c>
      <c r="E989" s="3">
        <v>0</v>
      </c>
      <c r="F989" s="3">
        <f>Merge2[[#This Row],[Coverage]]*100</f>
        <v>93</v>
      </c>
      <c r="G989" s="1">
        <v>0.93</v>
      </c>
      <c r="H989" s="3">
        <v>119773</v>
      </c>
      <c r="I989" s="2">
        <v>0</v>
      </c>
    </row>
    <row r="990" spans="1:9" x14ac:dyDescent="0.3">
      <c r="A990" s="4" t="s">
        <v>57</v>
      </c>
      <c r="B990" s="3">
        <v>2024</v>
      </c>
      <c r="C990" s="4" t="s">
        <v>95</v>
      </c>
      <c r="D990" s="4" t="s">
        <v>5</v>
      </c>
      <c r="E990" s="3">
        <v>2</v>
      </c>
      <c r="F990" s="3">
        <f>Merge2[[#This Row],[Coverage]]*100</f>
        <v>97</v>
      </c>
      <c r="G990" s="1">
        <v>0.97</v>
      </c>
      <c r="H990" s="3">
        <v>121354</v>
      </c>
      <c r="I990" s="2">
        <v>1.648070932972955</v>
      </c>
    </row>
    <row r="991" spans="1:9" x14ac:dyDescent="0.3">
      <c r="A991" s="4" t="s">
        <v>33</v>
      </c>
      <c r="B991" s="3">
        <v>2000</v>
      </c>
      <c r="C991" s="4" t="s">
        <v>96</v>
      </c>
      <c r="D991" s="4" t="s">
        <v>5</v>
      </c>
      <c r="E991" s="3">
        <v>3546</v>
      </c>
      <c r="F991" s="3">
        <f>Merge2[[#This Row],[Coverage]]*100</f>
        <v>28.000000000000004</v>
      </c>
      <c r="G991" s="1">
        <v>0.28000000000000003</v>
      </c>
      <c r="H991" s="3">
        <v>8512093</v>
      </c>
      <c r="I991" s="2">
        <v>41.658379437348721</v>
      </c>
    </row>
    <row r="992" spans="1:9" x14ac:dyDescent="0.3">
      <c r="A992" s="4" t="s">
        <v>33</v>
      </c>
      <c r="B992" s="3">
        <v>2001</v>
      </c>
      <c r="C992" s="4" t="s">
        <v>96</v>
      </c>
      <c r="D992" s="4" t="s">
        <v>5</v>
      </c>
      <c r="E992" s="3">
        <v>24908</v>
      </c>
      <c r="F992" s="3">
        <f>Merge2[[#This Row],[Coverage]]*100</f>
        <v>26</v>
      </c>
      <c r="G992" s="1">
        <v>0.26</v>
      </c>
      <c r="H992" s="3">
        <v>8804124</v>
      </c>
      <c r="I992" s="2">
        <v>282.91287128622901</v>
      </c>
    </row>
    <row r="993" spans="1:9" x14ac:dyDescent="0.3">
      <c r="A993" s="4" t="s">
        <v>33</v>
      </c>
      <c r="B993" s="3">
        <v>2002</v>
      </c>
      <c r="C993" s="4" t="s">
        <v>96</v>
      </c>
      <c r="D993" s="4" t="s">
        <v>5</v>
      </c>
      <c r="E993" s="3">
        <v>7277</v>
      </c>
      <c r="F993" s="3">
        <f>Merge2[[#This Row],[Coverage]]*100</f>
        <v>25</v>
      </c>
      <c r="G993" s="1">
        <v>0.25</v>
      </c>
      <c r="H993" s="3">
        <v>9116192</v>
      </c>
      <c r="I993" s="2">
        <v>79.824997104053978</v>
      </c>
    </row>
    <row r="994" spans="1:9" x14ac:dyDescent="0.3">
      <c r="A994" s="4" t="s">
        <v>33</v>
      </c>
      <c r="B994" s="3">
        <v>2003</v>
      </c>
      <c r="C994" s="4" t="s">
        <v>96</v>
      </c>
      <c r="D994" s="4" t="s">
        <v>5</v>
      </c>
      <c r="E994" s="3">
        <v>15801</v>
      </c>
      <c r="F994" s="3">
        <f>Merge2[[#This Row],[Coverage]]*100</f>
        <v>23</v>
      </c>
      <c r="G994" s="1">
        <v>0.23</v>
      </c>
      <c r="H994" s="3">
        <v>9487833</v>
      </c>
      <c r="I994" s="2">
        <v>166.53960920264933</v>
      </c>
    </row>
    <row r="995" spans="1:9" x14ac:dyDescent="0.3">
      <c r="A995" s="4" t="s">
        <v>33</v>
      </c>
      <c r="B995" s="3">
        <v>2004</v>
      </c>
      <c r="C995" s="4" t="s">
        <v>96</v>
      </c>
      <c r="D995" s="4" t="s">
        <v>5</v>
      </c>
      <c r="E995" s="3">
        <v>10324</v>
      </c>
      <c r="F995" s="3">
        <f>Merge2[[#This Row],[Coverage]]*100</f>
        <v>16</v>
      </c>
      <c r="G995" s="1">
        <v>0.16</v>
      </c>
      <c r="H995" s="3">
        <v>9920036</v>
      </c>
      <c r="I995" s="2">
        <v>104.07220296377957</v>
      </c>
    </row>
    <row r="996" spans="1:9" x14ac:dyDescent="0.3">
      <c r="A996" s="4" t="s">
        <v>33</v>
      </c>
      <c r="B996" s="3">
        <v>2005</v>
      </c>
      <c r="C996" s="4" t="s">
        <v>96</v>
      </c>
      <c r="D996" s="4" t="s">
        <v>5</v>
      </c>
      <c r="E996" s="3">
        <v>2</v>
      </c>
      <c r="F996" s="3">
        <f>Merge2[[#This Row],[Coverage]]*100</f>
        <v>27</v>
      </c>
      <c r="G996" s="1">
        <v>0.27</v>
      </c>
      <c r="H996" s="3">
        <v>10328092</v>
      </c>
      <c r="I996" s="2">
        <v>1.9364660965452283E-2</v>
      </c>
    </row>
    <row r="997" spans="1:9" x14ac:dyDescent="0.3">
      <c r="A997" s="4" t="s">
        <v>33</v>
      </c>
      <c r="B997" s="3">
        <v>2006</v>
      </c>
      <c r="C997" s="4" t="s">
        <v>96</v>
      </c>
      <c r="D997" s="4" t="s">
        <v>5</v>
      </c>
      <c r="E997" s="3">
        <v>1594</v>
      </c>
      <c r="F997" s="3">
        <f>Merge2[[#This Row],[Coverage]]*100</f>
        <v>39</v>
      </c>
      <c r="G997" s="1">
        <v>0.39</v>
      </c>
      <c r="H997" s="3">
        <v>10706424</v>
      </c>
      <c r="I997" s="2">
        <v>14.888257741333614</v>
      </c>
    </row>
    <row r="998" spans="1:9" x14ac:dyDescent="0.3">
      <c r="A998" s="4" t="s">
        <v>33</v>
      </c>
      <c r="B998" s="3">
        <v>2007</v>
      </c>
      <c r="C998" s="4" t="s">
        <v>96</v>
      </c>
      <c r="D998" s="4" t="s">
        <v>5</v>
      </c>
      <c r="E998" s="3">
        <v>441</v>
      </c>
      <c r="F998" s="3">
        <f>Merge2[[#This Row],[Coverage]]*100</f>
        <v>31</v>
      </c>
      <c r="G998" s="1">
        <v>0.31</v>
      </c>
      <c r="H998" s="3">
        <v>11081660</v>
      </c>
      <c r="I998" s="2">
        <v>3.979548190433563</v>
      </c>
    </row>
    <row r="999" spans="1:9" x14ac:dyDescent="0.3">
      <c r="A999" s="4" t="s">
        <v>33</v>
      </c>
      <c r="B999" s="3">
        <v>2008</v>
      </c>
      <c r="C999" s="4" t="s">
        <v>96</v>
      </c>
      <c r="D999" s="4" t="s">
        <v>5</v>
      </c>
      <c r="E999" s="3">
        <v>63</v>
      </c>
      <c r="F999" s="3">
        <f>Merge2[[#This Row],[Coverage]]*100</f>
        <v>27</v>
      </c>
      <c r="G999" s="1">
        <v>0.27</v>
      </c>
      <c r="H999" s="3">
        <v>11476296</v>
      </c>
      <c r="I999" s="2">
        <v>0.54895760792506576</v>
      </c>
    </row>
    <row r="1000" spans="1:9" x14ac:dyDescent="0.3">
      <c r="A1000" s="4" t="s">
        <v>33</v>
      </c>
      <c r="B1000" s="3">
        <v>2009</v>
      </c>
      <c r="C1000" s="4" t="s">
        <v>96</v>
      </c>
      <c r="D1000" s="4" t="s">
        <v>5</v>
      </c>
      <c r="E1000" s="3">
        <v>165</v>
      </c>
      <c r="F1000" s="3">
        <f>Merge2[[#This Row],[Coverage]]*100</f>
        <v>36</v>
      </c>
      <c r="G1000" s="1">
        <v>0.36</v>
      </c>
      <c r="H1000" s="3">
        <v>11893754</v>
      </c>
      <c r="I1000" s="2">
        <v>1.3872827704356421</v>
      </c>
    </row>
    <row r="1001" spans="1:9" x14ac:dyDescent="0.3">
      <c r="A1001" s="4" t="s">
        <v>33</v>
      </c>
      <c r="B1001" s="3">
        <v>2010</v>
      </c>
      <c r="C1001" s="4" t="s">
        <v>96</v>
      </c>
      <c r="D1001" s="4" t="s">
        <v>5</v>
      </c>
      <c r="E1001" s="3">
        <v>194</v>
      </c>
      <c r="F1001" s="3">
        <f>Merge2[[#This Row],[Coverage]]*100</f>
        <v>46</v>
      </c>
      <c r="G1001" s="1">
        <v>0.46</v>
      </c>
      <c r="H1001" s="3">
        <v>12312575</v>
      </c>
      <c r="I1001" s="2">
        <v>1.5756249200512482</v>
      </c>
    </row>
    <row r="1002" spans="1:9" x14ac:dyDescent="0.3">
      <c r="A1002" s="4" t="s">
        <v>33</v>
      </c>
      <c r="B1002" s="3">
        <v>2011</v>
      </c>
      <c r="C1002" s="4" t="s">
        <v>96</v>
      </c>
      <c r="D1002" s="4" t="s">
        <v>5</v>
      </c>
      <c r="E1002" s="3">
        <v>8650</v>
      </c>
      <c r="F1002" s="3">
        <f>Merge2[[#This Row],[Coverage]]*100</f>
        <v>54</v>
      </c>
      <c r="G1002" s="1">
        <v>0.54</v>
      </c>
      <c r="H1002" s="3">
        <v>12754997</v>
      </c>
      <c r="I1002" s="2">
        <v>67.816558482922417</v>
      </c>
    </row>
    <row r="1003" spans="1:9" x14ac:dyDescent="0.3">
      <c r="A1003" s="4" t="s">
        <v>33</v>
      </c>
      <c r="B1003" s="3">
        <v>2012</v>
      </c>
      <c r="C1003" s="4" t="s">
        <v>96</v>
      </c>
      <c r="D1003" s="4" t="s">
        <v>5</v>
      </c>
      <c r="E1003" s="3">
        <v>120</v>
      </c>
      <c r="F1003" s="3">
        <f>Merge2[[#This Row],[Coverage]]*100</f>
        <v>63</v>
      </c>
      <c r="G1003" s="1">
        <v>0.63</v>
      </c>
      <c r="H1003" s="3">
        <v>13210998</v>
      </c>
      <c r="I1003" s="2">
        <v>0.9083341016325942</v>
      </c>
    </row>
    <row r="1004" spans="1:9" x14ac:dyDescent="0.3">
      <c r="A1004" s="4" t="s">
        <v>33</v>
      </c>
      <c r="B1004" s="3">
        <v>2013</v>
      </c>
      <c r="C1004" s="4" t="s">
        <v>96</v>
      </c>
      <c r="D1004" s="4" t="s">
        <v>5</v>
      </c>
      <c r="E1004" s="3">
        <v>226</v>
      </c>
      <c r="F1004" s="3">
        <f>Merge2[[#This Row],[Coverage]]*100</f>
        <v>56.999999999999993</v>
      </c>
      <c r="G1004" s="1">
        <v>0.56999999999999995</v>
      </c>
      <c r="H1004" s="3">
        <v>13691079</v>
      </c>
      <c r="I1004" s="2">
        <v>1.6507099257845199</v>
      </c>
    </row>
    <row r="1005" spans="1:9" x14ac:dyDescent="0.3">
      <c r="A1005" s="4" t="s">
        <v>33</v>
      </c>
      <c r="B1005" s="3">
        <v>2014</v>
      </c>
      <c r="C1005" s="4" t="s">
        <v>96</v>
      </c>
      <c r="D1005" s="4" t="s">
        <v>5</v>
      </c>
      <c r="E1005" s="3">
        <v>1275</v>
      </c>
      <c r="F1005" s="3">
        <f>Merge2[[#This Row],[Coverage]]*100</f>
        <v>45</v>
      </c>
      <c r="G1005" s="1">
        <v>0.45</v>
      </c>
      <c r="H1005" s="3">
        <v>14188678</v>
      </c>
      <c r="I1005" s="2">
        <v>8.9860380227107832</v>
      </c>
    </row>
    <row r="1006" spans="1:9" x14ac:dyDescent="0.3">
      <c r="A1006" s="4" t="s">
        <v>33</v>
      </c>
      <c r="B1006" s="3">
        <v>2015</v>
      </c>
      <c r="C1006" s="4" t="s">
        <v>96</v>
      </c>
      <c r="D1006" s="4" t="s">
        <v>5</v>
      </c>
      <c r="E1006" s="3">
        <v>418</v>
      </c>
      <c r="F1006" s="3">
        <f>Merge2[[#This Row],[Coverage]]*100</f>
        <v>46</v>
      </c>
      <c r="G1006" s="1">
        <v>0.46</v>
      </c>
      <c r="H1006" s="3">
        <v>14647621</v>
      </c>
      <c r="I1006" s="2">
        <v>2.8537057314631502</v>
      </c>
    </row>
    <row r="1007" spans="1:9" x14ac:dyDescent="0.3">
      <c r="A1007" s="4" t="s">
        <v>33</v>
      </c>
      <c r="B1007" s="3">
        <v>2016</v>
      </c>
      <c r="C1007" s="4" t="s">
        <v>96</v>
      </c>
      <c r="D1007" s="4" t="s">
        <v>5</v>
      </c>
      <c r="E1007" s="3">
        <v>118</v>
      </c>
      <c r="F1007" s="3">
        <f>Merge2[[#This Row],[Coverage]]*100</f>
        <v>37</v>
      </c>
      <c r="G1007" s="1">
        <v>0.37</v>
      </c>
      <c r="H1007" s="3">
        <v>15114655</v>
      </c>
      <c r="I1007" s="2">
        <v>0.78069926174299042</v>
      </c>
    </row>
    <row r="1008" spans="1:9" x14ac:dyDescent="0.3">
      <c r="A1008" s="4" t="s">
        <v>33</v>
      </c>
      <c r="B1008" s="3">
        <v>2017</v>
      </c>
      <c r="C1008" s="4" t="s">
        <v>96</v>
      </c>
      <c r="D1008" s="4" t="s">
        <v>5</v>
      </c>
      <c r="E1008" s="3">
        <v>9</v>
      </c>
      <c r="F1008" s="3">
        <f>Merge2[[#This Row],[Coverage]]*100</f>
        <v>37</v>
      </c>
      <c r="G1008" s="1">
        <v>0.37</v>
      </c>
      <c r="H1008" s="3">
        <v>15622759</v>
      </c>
      <c r="I1008" s="2">
        <v>5.7608262407427523E-2</v>
      </c>
    </row>
    <row r="1009" spans="1:9" x14ac:dyDescent="0.3">
      <c r="A1009" s="4" t="s">
        <v>33</v>
      </c>
      <c r="B1009" s="3">
        <v>2018</v>
      </c>
      <c r="C1009" s="4" t="s">
        <v>96</v>
      </c>
      <c r="D1009" s="4" t="s">
        <v>5</v>
      </c>
      <c r="E1009" s="3">
        <v>1457</v>
      </c>
      <c r="F1009" s="3">
        <f>Merge2[[#This Row],[Coverage]]*100</f>
        <v>41</v>
      </c>
      <c r="G1009" s="1">
        <v>0.41</v>
      </c>
      <c r="H1009" s="3">
        <v>16156531</v>
      </c>
      <c r="I1009" s="2">
        <v>9.0180249708306821</v>
      </c>
    </row>
    <row r="1010" spans="1:9" x14ac:dyDescent="0.3">
      <c r="A1010" s="4" t="s">
        <v>33</v>
      </c>
      <c r="B1010" s="3">
        <v>2019</v>
      </c>
      <c r="C1010" s="4" t="s">
        <v>96</v>
      </c>
      <c r="D1010" s="4" t="s">
        <v>5</v>
      </c>
      <c r="E1010" s="3">
        <v>1882</v>
      </c>
      <c r="F1010" s="3">
        <f>Merge2[[#This Row],[Coverage]]*100</f>
        <v>40</v>
      </c>
      <c r="G1010" s="1">
        <v>0.4</v>
      </c>
      <c r="H1010" s="3">
        <v>16685223</v>
      </c>
      <c r="I1010" s="2">
        <v>11.279441695205392</v>
      </c>
    </row>
    <row r="1011" spans="1:9" x14ac:dyDescent="0.3">
      <c r="A1011" s="4" t="s">
        <v>33</v>
      </c>
      <c r="B1011" s="3">
        <v>2020</v>
      </c>
      <c r="C1011" s="4" t="s">
        <v>96</v>
      </c>
      <c r="D1011" s="4" t="s">
        <v>5</v>
      </c>
      <c r="E1011" s="3">
        <v>2170</v>
      </c>
      <c r="F1011" s="3">
        <f>Merge2[[#This Row],[Coverage]]*100</f>
        <v>45</v>
      </c>
      <c r="G1011" s="1">
        <v>0.45</v>
      </c>
      <c r="H1011" s="3">
        <v>17224679</v>
      </c>
      <c r="I1011" s="2">
        <v>12.59820284604433</v>
      </c>
    </row>
    <row r="1012" spans="1:9" x14ac:dyDescent="0.3">
      <c r="A1012" s="4" t="s">
        <v>33</v>
      </c>
      <c r="B1012" s="3">
        <v>2021</v>
      </c>
      <c r="C1012" s="4" t="s">
        <v>96</v>
      </c>
      <c r="D1012" s="4" t="s">
        <v>5</v>
      </c>
      <c r="E1012" s="3">
        <v>2577</v>
      </c>
      <c r="F1012" s="3">
        <f>Merge2[[#This Row],[Coverage]]*100</f>
        <v>53</v>
      </c>
      <c r="G1012" s="1">
        <v>0.53</v>
      </c>
      <c r="H1012" s="3">
        <v>17828273</v>
      </c>
      <c r="I1012" s="2">
        <v>14.454568874954965</v>
      </c>
    </row>
    <row r="1013" spans="1:9" x14ac:dyDescent="0.3">
      <c r="A1013" s="4" t="s">
        <v>33</v>
      </c>
      <c r="B1013" s="3">
        <v>2022</v>
      </c>
      <c r="C1013" s="4" t="s">
        <v>96</v>
      </c>
      <c r="D1013" s="4" t="s">
        <v>5</v>
      </c>
      <c r="E1013" s="3">
        <v>2158</v>
      </c>
      <c r="F1013" s="3">
        <f>Merge2[[#This Row],[Coverage]]*100</f>
        <v>54</v>
      </c>
      <c r="G1013" s="1">
        <v>0.54</v>
      </c>
      <c r="H1013" s="3">
        <v>18455316</v>
      </c>
      <c r="I1013" s="2">
        <v>11.693107828660317</v>
      </c>
    </row>
    <row r="1014" spans="1:9" x14ac:dyDescent="0.3">
      <c r="A1014" s="4" t="s">
        <v>33</v>
      </c>
      <c r="B1014" s="3">
        <v>2023</v>
      </c>
      <c r="C1014" s="4" t="s">
        <v>96</v>
      </c>
      <c r="D1014" s="4" t="s">
        <v>5</v>
      </c>
      <c r="E1014" s="3">
        <v>11862</v>
      </c>
      <c r="F1014" s="3">
        <f>Merge2[[#This Row],[Coverage]]*100</f>
        <v>63</v>
      </c>
      <c r="G1014" s="1">
        <v>0.63</v>
      </c>
      <c r="H1014" s="3">
        <v>19319064</v>
      </c>
      <c r="I1014" s="2">
        <v>61.400490210084719</v>
      </c>
    </row>
    <row r="1015" spans="1:9" x14ac:dyDescent="0.3">
      <c r="A1015" s="4" t="s">
        <v>33</v>
      </c>
      <c r="B1015" s="3">
        <v>2024</v>
      </c>
      <c r="C1015" s="4" t="s">
        <v>96</v>
      </c>
      <c r="D1015" s="4" t="s">
        <v>5</v>
      </c>
      <c r="E1015" s="3">
        <v>6978</v>
      </c>
      <c r="F1015" s="3">
        <f>Merge2[[#This Row],[Coverage]]*100</f>
        <v>66</v>
      </c>
      <c r="G1015" s="1">
        <v>0.66</v>
      </c>
      <c r="H1015" s="3">
        <v>20299123</v>
      </c>
      <c r="I1015" s="2">
        <v>34.375869341744469</v>
      </c>
    </row>
    <row r="1016" spans="1:9" x14ac:dyDescent="0.3">
      <c r="A1016" s="4" t="s">
        <v>63</v>
      </c>
      <c r="B1016" s="3">
        <v>2000</v>
      </c>
      <c r="C1016" s="4" t="s">
        <v>97</v>
      </c>
      <c r="D1016" s="4" t="s">
        <v>5</v>
      </c>
      <c r="E1016" s="3">
        <v>3578</v>
      </c>
      <c r="F1016" s="3">
        <f>Merge2[[#This Row],[Coverage]]*100</f>
        <v>57.999999999999993</v>
      </c>
      <c r="G1016" s="1">
        <v>0.57999999999999996</v>
      </c>
      <c r="H1016" s="3">
        <v>5140037</v>
      </c>
      <c r="I1016" s="2">
        <v>69.61039385514151</v>
      </c>
    </row>
    <row r="1017" spans="1:9" x14ac:dyDescent="0.3">
      <c r="A1017" s="4" t="s">
        <v>63</v>
      </c>
      <c r="B1017" s="3">
        <v>2001</v>
      </c>
      <c r="C1017" s="4" t="s">
        <v>97</v>
      </c>
      <c r="D1017" s="4" t="s">
        <v>5</v>
      </c>
      <c r="E1017" s="3">
        <v>1833</v>
      </c>
      <c r="F1017" s="3">
        <f>Merge2[[#This Row],[Coverage]]*100</f>
        <v>40</v>
      </c>
      <c r="G1017" s="1">
        <v>0.4</v>
      </c>
      <c r="H1017" s="3">
        <v>5277382</v>
      </c>
      <c r="I1017" s="2">
        <v>34.733130934997696</v>
      </c>
    </row>
    <row r="1018" spans="1:9" x14ac:dyDescent="0.3">
      <c r="A1018" s="4" t="s">
        <v>63</v>
      </c>
      <c r="B1018" s="3">
        <v>2002</v>
      </c>
      <c r="C1018" s="4" t="s">
        <v>97</v>
      </c>
      <c r="D1018" s="4" t="s">
        <v>5</v>
      </c>
      <c r="E1018" s="3">
        <v>363</v>
      </c>
      <c r="F1018" s="3">
        <f>Merge2[[#This Row],[Coverage]]*100</f>
        <v>48</v>
      </c>
      <c r="G1018" s="1">
        <v>0.48</v>
      </c>
      <c r="H1018" s="3">
        <v>5413274</v>
      </c>
      <c r="I1018" s="2">
        <v>6.7057385234887423</v>
      </c>
    </row>
    <row r="1019" spans="1:9" x14ac:dyDescent="0.3">
      <c r="A1019" s="4" t="s">
        <v>63</v>
      </c>
      <c r="B1019" s="3">
        <v>2003</v>
      </c>
      <c r="C1019" s="4" t="s">
        <v>97</v>
      </c>
      <c r="D1019" s="4" t="s">
        <v>5</v>
      </c>
      <c r="E1019" s="3">
        <v>295</v>
      </c>
      <c r="F1019" s="3">
        <f>Merge2[[#This Row],[Coverage]]*100</f>
        <v>68</v>
      </c>
      <c r="G1019" s="1">
        <v>0.68</v>
      </c>
      <c r="H1019" s="3">
        <v>5552167</v>
      </c>
      <c r="I1019" s="2">
        <v>5.3132407580679759</v>
      </c>
    </row>
    <row r="1020" spans="1:9" x14ac:dyDescent="0.3">
      <c r="A1020" s="4" t="s">
        <v>63</v>
      </c>
      <c r="B1020" s="3">
        <v>2004</v>
      </c>
      <c r="C1020" s="4" t="s">
        <v>97</v>
      </c>
      <c r="D1020" s="4" t="s">
        <v>5</v>
      </c>
      <c r="E1020" s="3">
        <v>61</v>
      </c>
      <c r="F1020" s="3">
        <f>Merge2[[#This Row],[Coverage]]*100</f>
        <v>70</v>
      </c>
      <c r="G1020" s="1">
        <v>0.7</v>
      </c>
      <c r="H1020" s="3">
        <v>5696508</v>
      </c>
      <c r="I1020" s="2">
        <v>1.0708314637669252</v>
      </c>
    </row>
    <row r="1021" spans="1:9" x14ac:dyDescent="0.3">
      <c r="A1021" s="4" t="s">
        <v>63</v>
      </c>
      <c r="B1021" s="3">
        <v>2005</v>
      </c>
      <c r="C1021" s="4" t="s">
        <v>97</v>
      </c>
      <c r="D1021" s="4" t="s">
        <v>5</v>
      </c>
      <c r="E1021" s="3">
        <v>38</v>
      </c>
      <c r="F1021" s="3">
        <f>Merge2[[#This Row],[Coverage]]*100</f>
        <v>70</v>
      </c>
      <c r="G1021" s="1">
        <v>0.7</v>
      </c>
      <c r="H1021" s="3">
        <v>5844631</v>
      </c>
      <c r="I1021" s="2">
        <v>0.65016936056356678</v>
      </c>
    </row>
    <row r="1022" spans="1:9" x14ac:dyDescent="0.3">
      <c r="A1022" s="4" t="s">
        <v>63</v>
      </c>
      <c r="B1022" s="3">
        <v>2006</v>
      </c>
      <c r="C1022" s="4" t="s">
        <v>97</v>
      </c>
      <c r="D1022" s="4" t="s">
        <v>5</v>
      </c>
      <c r="E1022" s="3">
        <v>26</v>
      </c>
      <c r="F1022" s="3">
        <f>Merge2[[#This Row],[Coverage]]*100</f>
        <v>78</v>
      </c>
      <c r="G1022" s="1">
        <v>0.78</v>
      </c>
      <c r="H1022" s="3">
        <v>6010668</v>
      </c>
      <c r="I1022" s="2">
        <v>0.43256423412505896</v>
      </c>
    </row>
    <row r="1023" spans="1:9" x14ac:dyDescent="0.3">
      <c r="A1023" s="4" t="s">
        <v>63</v>
      </c>
      <c r="B1023" s="3">
        <v>2007</v>
      </c>
      <c r="C1023" s="4" t="s">
        <v>97</v>
      </c>
      <c r="D1023" s="4" t="s">
        <v>5</v>
      </c>
      <c r="E1023" s="3">
        <v>8</v>
      </c>
      <c r="F1023" s="3">
        <f>Merge2[[#This Row],[Coverage]]*100</f>
        <v>71</v>
      </c>
      <c r="G1023" s="1">
        <v>0.71</v>
      </c>
      <c r="H1023" s="3">
        <v>6188344</v>
      </c>
      <c r="I1023" s="2">
        <v>0.12927529562028225</v>
      </c>
    </row>
    <row r="1024" spans="1:9" x14ac:dyDescent="0.3">
      <c r="A1024" s="4" t="s">
        <v>63</v>
      </c>
      <c r="B1024" s="3">
        <v>2008</v>
      </c>
      <c r="C1024" s="4" t="s">
        <v>97</v>
      </c>
      <c r="D1024" s="4" t="s">
        <v>5</v>
      </c>
      <c r="E1024" s="3">
        <v>187</v>
      </c>
      <c r="F1024" s="3">
        <f>Merge2[[#This Row],[Coverage]]*100</f>
        <v>63</v>
      </c>
      <c r="G1024" s="1">
        <v>0.63</v>
      </c>
      <c r="H1024" s="3">
        <v>6368812</v>
      </c>
      <c r="I1024" s="2">
        <v>2.9361833886759414</v>
      </c>
    </row>
    <row r="1025" spans="1:9" x14ac:dyDescent="0.3">
      <c r="A1025" s="4" t="s">
        <v>63</v>
      </c>
      <c r="B1025" s="3">
        <v>2009</v>
      </c>
      <c r="C1025" s="4" t="s">
        <v>97</v>
      </c>
      <c r="D1025" s="4" t="s">
        <v>5</v>
      </c>
      <c r="E1025" s="3">
        <v>425</v>
      </c>
      <c r="F1025" s="3">
        <f>Merge2[[#This Row],[Coverage]]*100</f>
        <v>66</v>
      </c>
      <c r="G1025" s="1">
        <v>0.66</v>
      </c>
      <c r="H1025" s="3">
        <v>6551865</v>
      </c>
      <c r="I1025" s="2">
        <v>6.4867026411563735</v>
      </c>
    </row>
    <row r="1026" spans="1:9" x14ac:dyDescent="0.3">
      <c r="A1026" s="4" t="s">
        <v>63</v>
      </c>
      <c r="B1026" s="3">
        <v>2010</v>
      </c>
      <c r="C1026" s="4" t="s">
        <v>97</v>
      </c>
      <c r="D1026" s="4" t="s">
        <v>5</v>
      </c>
      <c r="E1026" s="3">
        <v>120</v>
      </c>
      <c r="F1026" s="3">
        <f>Merge2[[#This Row],[Coverage]]*100</f>
        <v>68</v>
      </c>
      <c r="G1026" s="1">
        <v>0.68</v>
      </c>
      <c r="H1026" s="3">
        <v>6732590</v>
      </c>
      <c r="I1026" s="2">
        <v>1.7823749849612109</v>
      </c>
    </row>
    <row r="1027" spans="1:9" x14ac:dyDescent="0.3">
      <c r="A1027" s="4" t="s">
        <v>63</v>
      </c>
      <c r="B1027" s="3">
        <v>2011</v>
      </c>
      <c r="C1027" s="4" t="s">
        <v>97</v>
      </c>
      <c r="D1027" s="4" t="s">
        <v>5</v>
      </c>
      <c r="E1027" s="3">
        <v>187</v>
      </c>
      <c r="F1027" s="3">
        <f>Merge2[[#This Row],[Coverage]]*100</f>
        <v>72</v>
      </c>
      <c r="G1027" s="1">
        <v>0.72</v>
      </c>
      <c r="H1027" s="3">
        <v>6916474</v>
      </c>
      <c r="I1027" s="2">
        <v>2.7036897702499858</v>
      </c>
    </row>
    <row r="1028" spans="1:9" x14ac:dyDescent="0.3">
      <c r="A1028" s="4" t="s">
        <v>63</v>
      </c>
      <c r="B1028" s="3">
        <v>2012</v>
      </c>
      <c r="C1028" s="4" t="s">
        <v>97</v>
      </c>
      <c r="D1028" s="4" t="s">
        <v>5</v>
      </c>
      <c r="E1028" s="3">
        <v>238</v>
      </c>
      <c r="F1028" s="3">
        <f>Merge2[[#This Row],[Coverage]]*100</f>
        <v>72</v>
      </c>
      <c r="G1028" s="1">
        <v>0.72</v>
      </c>
      <c r="H1028" s="3">
        <v>7100736</v>
      </c>
      <c r="I1028" s="2">
        <v>3.3517652254639518</v>
      </c>
    </row>
    <row r="1029" spans="1:9" x14ac:dyDescent="0.3">
      <c r="A1029" s="4" t="s">
        <v>63</v>
      </c>
      <c r="B1029" s="3">
        <v>2013</v>
      </c>
      <c r="C1029" s="4" t="s">
        <v>97</v>
      </c>
      <c r="D1029" s="4" t="s">
        <v>5</v>
      </c>
      <c r="E1029" s="3">
        <v>564</v>
      </c>
      <c r="F1029" s="3">
        <f>Merge2[[#This Row],[Coverage]]*100</f>
        <v>72</v>
      </c>
      <c r="G1029" s="1">
        <v>0.72</v>
      </c>
      <c r="H1029" s="3">
        <v>7285442</v>
      </c>
      <c r="I1029" s="2">
        <v>7.7414657888979148</v>
      </c>
    </row>
    <row r="1030" spans="1:9" x14ac:dyDescent="0.3">
      <c r="A1030" s="4" t="s">
        <v>63</v>
      </c>
      <c r="B1030" s="3">
        <v>2014</v>
      </c>
      <c r="C1030" s="4" t="s">
        <v>97</v>
      </c>
      <c r="D1030" s="4" t="s">
        <v>5</v>
      </c>
      <c r="E1030" s="3">
        <v>577</v>
      </c>
      <c r="F1030" s="3">
        <f>Merge2[[#This Row],[Coverage]]*100</f>
        <v>77</v>
      </c>
      <c r="G1030" s="1">
        <v>0.77</v>
      </c>
      <c r="H1030" s="3">
        <v>7472450</v>
      </c>
      <c r="I1030" s="2">
        <v>7.7216977028953027</v>
      </c>
    </row>
    <row r="1031" spans="1:9" x14ac:dyDescent="0.3">
      <c r="A1031" s="4" t="s">
        <v>63</v>
      </c>
      <c r="B1031" s="3">
        <v>2015</v>
      </c>
      <c r="C1031" s="4" t="s">
        <v>97</v>
      </c>
      <c r="D1031" s="4" t="s">
        <v>5</v>
      </c>
      <c r="E1031" s="3">
        <v>20</v>
      </c>
      <c r="F1031" s="3">
        <f>Merge2[[#This Row],[Coverage]]*100</f>
        <v>75</v>
      </c>
      <c r="G1031" s="1">
        <v>0.75</v>
      </c>
      <c r="H1031" s="3">
        <v>7663195</v>
      </c>
      <c r="I1031" s="2">
        <v>0.26098774727773472</v>
      </c>
    </row>
    <row r="1032" spans="1:9" x14ac:dyDescent="0.3">
      <c r="A1032" s="4" t="s">
        <v>63</v>
      </c>
      <c r="B1032" s="3">
        <v>2016</v>
      </c>
      <c r="C1032" s="4" t="s">
        <v>97</v>
      </c>
      <c r="D1032" s="4" t="s">
        <v>5</v>
      </c>
      <c r="E1032" s="3">
        <v>15</v>
      </c>
      <c r="F1032" s="3">
        <f>Merge2[[#This Row],[Coverage]]*100</f>
        <v>73</v>
      </c>
      <c r="G1032" s="1">
        <v>0.73</v>
      </c>
      <c r="H1032" s="3">
        <v>7858289</v>
      </c>
      <c r="I1032" s="2">
        <v>0.19088124654107275</v>
      </c>
    </row>
    <row r="1033" spans="1:9" x14ac:dyDescent="0.3">
      <c r="A1033" s="4" t="s">
        <v>63</v>
      </c>
      <c r="B1033" s="3">
        <v>2017</v>
      </c>
      <c r="C1033" s="4" t="s">
        <v>97</v>
      </c>
      <c r="D1033" s="4" t="s">
        <v>5</v>
      </c>
      <c r="E1033" s="3">
        <v>46</v>
      </c>
      <c r="F1033" s="3">
        <f>Merge2[[#This Row],[Coverage]]*100</f>
        <v>78</v>
      </c>
      <c r="G1033" s="1">
        <v>0.78</v>
      </c>
      <c r="H1033" s="3">
        <v>8057140</v>
      </c>
      <c r="I1033" s="2">
        <v>0.57092218827027952</v>
      </c>
    </row>
    <row r="1034" spans="1:9" x14ac:dyDescent="0.3">
      <c r="A1034" s="4" t="s">
        <v>63</v>
      </c>
      <c r="B1034" s="3">
        <v>2018</v>
      </c>
      <c r="C1034" s="4" t="s">
        <v>97</v>
      </c>
      <c r="D1034" s="4" t="s">
        <v>5</v>
      </c>
      <c r="E1034" s="3">
        <v>38</v>
      </c>
      <c r="F1034" s="3">
        <f>Merge2[[#This Row],[Coverage]]*100</f>
        <v>73</v>
      </c>
      <c r="G1034" s="1">
        <v>0.73</v>
      </c>
      <c r="H1034" s="3">
        <v>8258778</v>
      </c>
      <c r="I1034" s="2">
        <v>0.4601164966536212</v>
      </c>
    </row>
    <row r="1035" spans="1:9" x14ac:dyDescent="0.3">
      <c r="A1035" s="4" t="s">
        <v>63</v>
      </c>
      <c r="B1035" s="3">
        <v>2019</v>
      </c>
      <c r="C1035" s="4" t="s">
        <v>97</v>
      </c>
      <c r="D1035" s="4" t="s">
        <v>5</v>
      </c>
      <c r="E1035" s="3">
        <v>69</v>
      </c>
      <c r="F1035" s="3">
        <f>Merge2[[#This Row],[Coverage]]*100</f>
        <v>78</v>
      </c>
      <c r="G1035" s="1">
        <v>0.78</v>
      </c>
      <c r="H1035" s="3">
        <v>8463068</v>
      </c>
      <c r="I1035" s="2">
        <v>0.81530716756618282</v>
      </c>
    </row>
    <row r="1036" spans="1:9" x14ac:dyDescent="0.3">
      <c r="A1036" s="4" t="s">
        <v>63</v>
      </c>
      <c r="B1036" s="3">
        <v>2020</v>
      </c>
      <c r="C1036" s="4" t="s">
        <v>97</v>
      </c>
      <c r="D1036" s="4" t="s">
        <v>5</v>
      </c>
      <c r="E1036" s="3">
        <v>91</v>
      </c>
      <c r="F1036" s="3">
        <f>Merge2[[#This Row],[Coverage]]*100</f>
        <v>75</v>
      </c>
      <c r="G1036" s="1">
        <v>0.75</v>
      </c>
      <c r="H1036" s="3">
        <v>8669720</v>
      </c>
      <c r="I1036" s="2">
        <v>1.0496302072039236</v>
      </c>
    </row>
    <row r="1037" spans="1:9" x14ac:dyDescent="0.3">
      <c r="A1037" s="4" t="s">
        <v>63</v>
      </c>
      <c r="B1037" s="3">
        <v>2021</v>
      </c>
      <c r="C1037" s="4" t="s">
        <v>97</v>
      </c>
      <c r="D1037" s="4" t="s">
        <v>5</v>
      </c>
      <c r="E1037" s="3">
        <v>82</v>
      </c>
      <c r="F1037" s="3">
        <f>Merge2[[#This Row],[Coverage]]*100</f>
        <v>77</v>
      </c>
      <c r="G1037" s="1">
        <v>0.77</v>
      </c>
      <c r="H1037" s="3">
        <v>8878379</v>
      </c>
      <c r="I1037" s="2">
        <v>0.92359202057042167</v>
      </c>
    </row>
    <row r="1038" spans="1:9" x14ac:dyDescent="0.3">
      <c r="A1038" s="4" t="s">
        <v>63</v>
      </c>
      <c r="B1038" s="3">
        <v>2022</v>
      </c>
      <c r="C1038" s="4" t="s">
        <v>97</v>
      </c>
      <c r="D1038" s="4" t="s">
        <v>5</v>
      </c>
      <c r="E1038" s="3">
        <v>722</v>
      </c>
      <c r="F1038" s="3">
        <f>Merge2[[#This Row],[Coverage]]*100</f>
        <v>79</v>
      </c>
      <c r="G1038" s="1">
        <v>0.79</v>
      </c>
      <c r="H1038" s="3">
        <v>9089738</v>
      </c>
      <c r="I1038" s="2">
        <v>7.9430232202512325</v>
      </c>
    </row>
    <row r="1039" spans="1:9" x14ac:dyDescent="0.3">
      <c r="A1039" s="4" t="s">
        <v>63</v>
      </c>
      <c r="B1039" s="3">
        <v>2023</v>
      </c>
      <c r="C1039" s="4" t="s">
        <v>97</v>
      </c>
      <c r="D1039" s="4" t="s">
        <v>5</v>
      </c>
      <c r="E1039" s="3">
        <v>686</v>
      </c>
      <c r="F1039" s="3">
        <f>Merge2[[#This Row],[Coverage]]*100</f>
        <v>81</v>
      </c>
      <c r="G1039" s="1">
        <v>0.81</v>
      </c>
      <c r="H1039" s="3">
        <v>9304337</v>
      </c>
      <c r="I1039" s="2">
        <v>7.3729057750165321</v>
      </c>
    </row>
    <row r="1040" spans="1:9" x14ac:dyDescent="0.3">
      <c r="A1040" s="4" t="s">
        <v>63</v>
      </c>
      <c r="B1040" s="3">
        <v>2024</v>
      </c>
      <c r="C1040" s="4" t="s">
        <v>97</v>
      </c>
      <c r="D1040" s="4" t="s">
        <v>5</v>
      </c>
      <c r="E1040" s="3">
        <v>353</v>
      </c>
      <c r="F1040" s="3">
        <f>Merge2[[#This Row],[Coverage]]*100</f>
        <v>81</v>
      </c>
      <c r="G1040" s="1">
        <v>0.81</v>
      </c>
      <c r="H1040" s="3">
        <v>9515236</v>
      </c>
      <c r="I1040" s="2">
        <v>3.7098396718694104</v>
      </c>
    </row>
    <row r="1041" spans="1:9" x14ac:dyDescent="0.3">
      <c r="A1041" s="4" t="s">
        <v>65</v>
      </c>
      <c r="B1041" s="3">
        <v>2000</v>
      </c>
      <c r="C1041" s="4" t="s">
        <v>98</v>
      </c>
      <c r="D1041" s="4" t="s">
        <v>5</v>
      </c>
      <c r="E1041" s="3">
        <v>14649</v>
      </c>
      <c r="F1041" s="3">
        <f>Merge2[[#This Row],[Coverage]]*100</f>
        <v>78</v>
      </c>
      <c r="G1041" s="1">
        <v>0.78</v>
      </c>
      <c r="H1041" s="3">
        <v>34260139</v>
      </c>
      <c r="I1041" s="2">
        <v>42.758145260297979</v>
      </c>
    </row>
    <row r="1042" spans="1:9" x14ac:dyDescent="0.3">
      <c r="A1042" s="4" t="s">
        <v>65</v>
      </c>
      <c r="B1042" s="3">
        <v>2001</v>
      </c>
      <c r="C1042" s="4" t="s">
        <v>98</v>
      </c>
      <c r="D1042" s="4" t="s">
        <v>5</v>
      </c>
      <c r="E1042" s="3">
        <v>11847</v>
      </c>
      <c r="F1042" s="3">
        <f>Merge2[[#This Row],[Coverage]]*100</f>
        <v>86</v>
      </c>
      <c r="G1042" s="1">
        <v>0.86</v>
      </c>
      <c r="H1042" s="3">
        <v>35198299</v>
      </c>
      <c r="I1042" s="2">
        <v>33.657876478633241</v>
      </c>
    </row>
    <row r="1043" spans="1:9" x14ac:dyDescent="0.3">
      <c r="A1043" s="4" t="s">
        <v>65</v>
      </c>
      <c r="B1043" s="3">
        <v>2002</v>
      </c>
      <c r="C1043" s="4" t="s">
        <v>98</v>
      </c>
      <c r="D1043" s="4" t="s">
        <v>5</v>
      </c>
      <c r="E1043" s="3">
        <v>5131</v>
      </c>
      <c r="F1043" s="3">
        <f>Merge2[[#This Row],[Coverage]]*100</f>
        <v>89</v>
      </c>
      <c r="G1043" s="1">
        <v>0.89</v>
      </c>
      <c r="H1043" s="3">
        <v>36121304</v>
      </c>
      <c r="I1043" s="2">
        <v>14.204913532468263</v>
      </c>
    </row>
    <row r="1044" spans="1:9" x14ac:dyDescent="0.3">
      <c r="A1044" s="4" t="s">
        <v>65</v>
      </c>
      <c r="B1044" s="3">
        <v>2003</v>
      </c>
      <c r="C1044" s="4" t="s">
        <v>98</v>
      </c>
      <c r="D1044" s="4" t="s">
        <v>5</v>
      </c>
      <c r="E1044" s="3">
        <v>1673</v>
      </c>
      <c r="F1044" s="3">
        <f>Merge2[[#This Row],[Coverage]]*100</f>
        <v>97</v>
      </c>
      <c r="G1044" s="1">
        <v>0.97</v>
      </c>
      <c r="H1044" s="3">
        <v>37089555</v>
      </c>
      <c r="I1044" s="2">
        <v>4.5107038895451836</v>
      </c>
    </row>
    <row r="1045" spans="1:9" x14ac:dyDescent="0.3">
      <c r="A1045" s="4" t="s">
        <v>65</v>
      </c>
      <c r="B1045" s="3">
        <v>2004</v>
      </c>
      <c r="C1045" s="4" t="s">
        <v>98</v>
      </c>
      <c r="D1045" s="4" t="s">
        <v>5</v>
      </c>
      <c r="E1045" s="3">
        <v>1419</v>
      </c>
      <c r="F1045" s="3">
        <f>Merge2[[#This Row],[Coverage]]*100</f>
        <v>94</v>
      </c>
      <c r="G1045" s="1">
        <v>0.94</v>
      </c>
      <c r="H1045" s="3">
        <v>38109668</v>
      </c>
      <c r="I1045" s="2">
        <v>3.7234646074586637</v>
      </c>
    </row>
    <row r="1046" spans="1:9" x14ac:dyDescent="0.3">
      <c r="A1046" s="4" t="s">
        <v>65</v>
      </c>
      <c r="B1046" s="3">
        <v>2005</v>
      </c>
      <c r="C1046" s="4" t="s">
        <v>98</v>
      </c>
      <c r="D1046" s="4" t="s">
        <v>5</v>
      </c>
      <c r="E1046" s="3">
        <v>23</v>
      </c>
      <c r="F1046" s="3">
        <f>Merge2[[#This Row],[Coverage]]*100</f>
        <v>91</v>
      </c>
      <c r="G1046" s="1">
        <v>0.91</v>
      </c>
      <c r="H1046" s="3">
        <v>39182076</v>
      </c>
      <c r="I1046" s="2">
        <v>5.8700309804922031E-2</v>
      </c>
    </row>
    <row r="1047" spans="1:9" x14ac:dyDescent="0.3">
      <c r="A1047" s="4" t="s">
        <v>65</v>
      </c>
      <c r="B1047" s="3">
        <v>2006</v>
      </c>
      <c r="C1047" s="4" t="s">
        <v>98</v>
      </c>
      <c r="D1047" s="4" t="s">
        <v>5</v>
      </c>
      <c r="E1047" s="3">
        <v>2362</v>
      </c>
      <c r="F1047" s="3">
        <f>Merge2[[#This Row],[Coverage]]*100</f>
        <v>93</v>
      </c>
      <c r="G1047" s="1">
        <v>0.93</v>
      </c>
      <c r="H1047" s="3">
        <v>40294902</v>
      </c>
      <c r="I1047" s="2">
        <v>5.8617837065343901</v>
      </c>
    </row>
    <row r="1048" spans="1:9" x14ac:dyDescent="0.3">
      <c r="A1048" s="4" t="s">
        <v>65</v>
      </c>
      <c r="B1048" s="3">
        <v>2007</v>
      </c>
      <c r="C1048" s="4" t="s">
        <v>98</v>
      </c>
      <c r="D1048" s="4" t="s">
        <v>5</v>
      </c>
      <c r="E1048" s="3">
        <v>7726</v>
      </c>
      <c r="F1048" s="3">
        <f>Merge2[[#This Row],[Coverage]]*100</f>
        <v>90</v>
      </c>
      <c r="G1048" s="1">
        <v>0.9</v>
      </c>
      <c r="H1048" s="3">
        <v>41435512</v>
      </c>
      <c r="I1048" s="2">
        <v>18.645841760082511</v>
      </c>
    </row>
    <row r="1049" spans="1:9" x14ac:dyDescent="0.3">
      <c r="A1049" s="4" t="s">
        <v>65</v>
      </c>
      <c r="B1049" s="3">
        <v>2008</v>
      </c>
      <c r="C1049" s="4" t="s">
        <v>98</v>
      </c>
      <c r="D1049" s="4" t="s">
        <v>5</v>
      </c>
      <c r="E1049" s="3">
        <v>3413</v>
      </c>
      <c r="F1049" s="3">
        <f>Merge2[[#This Row],[Coverage]]*100</f>
        <v>88</v>
      </c>
      <c r="G1049" s="1">
        <v>0.88</v>
      </c>
      <c r="H1049" s="3">
        <v>42570728</v>
      </c>
      <c r="I1049" s="2">
        <v>8.0172460287735738</v>
      </c>
    </row>
    <row r="1050" spans="1:9" x14ac:dyDescent="0.3">
      <c r="A1050" s="4" t="s">
        <v>65</v>
      </c>
      <c r="B1050" s="3">
        <v>2009</v>
      </c>
      <c r="C1050" s="4" t="s">
        <v>98</v>
      </c>
      <c r="D1050" s="4" t="s">
        <v>5</v>
      </c>
      <c r="E1050" s="3">
        <v>1574</v>
      </c>
      <c r="F1050" s="3">
        <f>Merge2[[#This Row],[Coverage]]*100</f>
        <v>91</v>
      </c>
      <c r="G1050" s="1">
        <v>0.91</v>
      </c>
      <c r="H1050" s="3">
        <v>43633982</v>
      </c>
      <c r="I1050" s="2">
        <v>3.6072802156814383</v>
      </c>
    </row>
    <row r="1051" spans="1:9" x14ac:dyDescent="0.3">
      <c r="A1051" s="4" t="s">
        <v>65</v>
      </c>
      <c r="B1051" s="3">
        <v>2010</v>
      </c>
      <c r="C1051" s="4" t="s">
        <v>98</v>
      </c>
      <c r="D1051" s="4" t="s">
        <v>5</v>
      </c>
      <c r="E1051" s="3">
        <v>167</v>
      </c>
      <c r="F1051" s="3">
        <f>Merge2[[#This Row],[Coverage]]*100</f>
        <v>92</v>
      </c>
      <c r="G1051" s="1">
        <v>0.92</v>
      </c>
      <c r="H1051" s="3">
        <v>44758488</v>
      </c>
      <c r="I1051" s="2">
        <v>0.37311358685753637</v>
      </c>
    </row>
    <row r="1052" spans="1:9" x14ac:dyDescent="0.3">
      <c r="A1052" s="4" t="s">
        <v>65</v>
      </c>
      <c r="B1052" s="3">
        <v>2011</v>
      </c>
      <c r="C1052" s="4" t="s">
        <v>98</v>
      </c>
      <c r="D1052" s="4" t="s">
        <v>5</v>
      </c>
      <c r="E1052" s="3">
        <v>1622</v>
      </c>
      <c r="F1052" s="3">
        <f>Merge2[[#This Row],[Coverage]]*100</f>
        <v>93</v>
      </c>
      <c r="G1052" s="1">
        <v>0.93</v>
      </c>
      <c r="H1052" s="3">
        <v>46029367</v>
      </c>
      <c r="I1052" s="2">
        <v>3.5238372928309007</v>
      </c>
    </row>
    <row r="1053" spans="1:9" x14ac:dyDescent="0.3">
      <c r="A1053" s="4" t="s">
        <v>65</v>
      </c>
      <c r="B1053" s="3">
        <v>2012</v>
      </c>
      <c r="C1053" s="4" t="s">
        <v>98</v>
      </c>
      <c r="D1053" s="4" t="s">
        <v>5</v>
      </c>
      <c r="E1053" s="3">
        <v>1668</v>
      </c>
      <c r="F1053" s="3">
        <f>Merge2[[#This Row],[Coverage]]*100</f>
        <v>97</v>
      </c>
      <c r="G1053" s="1">
        <v>0.97</v>
      </c>
      <c r="H1053" s="3">
        <v>47374260</v>
      </c>
      <c r="I1053" s="2">
        <v>3.5208993238100184</v>
      </c>
    </row>
    <row r="1054" spans="1:9" x14ac:dyDescent="0.3">
      <c r="A1054" s="4" t="s">
        <v>65</v>
      </c>
      <c r="B1054" s="3">
        <v>2013</v>
      </c>
      <c r="C1054" s="4" t="s">
        <v>98</v>
      </c>
      <c r="D1054" s="4" t="s">
        <v>5</v>
      </c>
      <c r="E1054" s="3">
        <v>185</v>
      </c>
      <c r="F1054" s="3">
        <f>Merge2[[#This Row],[Coverage]]*100</f>
        <v>99</v>
      </c>
      <c r="G1054" s="1">
        <v>0.99</v>
      </c>
      <c r="H1054" s="3">
        <v>48824128</v>
      </c>
      <c r="I1054" s="2">
        <v>0.37891101711022879</v>
      </c>
    </row>
    <row r="1055" spans="1:9" x14ac:dyDescent="0.3">
      <c r="A1055" s="4" t="s">
        <v>65</v>
      </c>
      <c r="B1055" s="3">
        <v>2014</v>
      </c>
      <c r="C1055" s="4" t="s">
        <v>98</v>
      </c>
      <c r="D1055" s="4" t="s">
        <v>5</v>
      </c>
      <c r="E1055" s="3">
        <v>88</v>
      </c>
      <c r="F1055" s="3">
        <f>Merge2[[#This Row],[Coverage]]*100</f>
        <v>97</v>
      </c>
      <c r="G1055" s="1">
        <v>0.97</v>
      </c>
      <c r="H1055" s="3">
        <v>50351512</v>
      </c>
      <c r="I1055" s="2">
        <v>0.17477131570547474</v>
      </c>
    </row>
    <row r="1056" spans="1:9" x14ac:dyDescent="0.3">
      <c r="A1056" s="4" t="s">
        <v>65</v>
      </c>
      <c r="B1056" s="3">
        <v>2015</v>
      </c>
      <c r="C1056" s="4" t="s">
        <v>98</v>
      </c>
      <c r="D1056" s="4" t="s">
        <v>5</v>
      </c>
      <c r="E1056" s="3">
        <v>30</v>
      </c>
      <c r="F1056" s="3">
        <f>Merge2[[#This Row],[Coverage]]*100</f>
        <v>95</v>
      </c>
      <c r="G1056" s="1">
        <v>0.95</v>
      </c>
      <c r="H1056" s="3">
        <v>52020962</v>
      </c>
      <c r="I1056" s="2">
        <v>5.7669060406841381E-2</v>
      </c>
    </row>
    <row r="1057" spans="1:9" x14ac:dyDescent="0.3">
      <c r="A1057" s="4" t="s">
        <v>65</v>
      </c>
      <c r="B1057" s="3">
        <v>2016</v>
      </c>
      <c r="C1057" s="4" t="s">
        <v>98</v>
      </c>
      <c r="D1057" s="4" t="s">
        <v>5</v>
      </c>
      <c r="E1057" s="3">
        <v>33</v>
      </c>
      <c r="F1057" s="3">
        <f>Merge2[[#This Row],[Coverage]]*100</f>
        <v>83</v>
      </c>
      <c r="G1057" s="1">
        <v>0.83</v>
      </c>
      <c r="H1057" s="3">
        <v>53824013</v>
      </c>
      <c r="I1057" s="2">
        <v>6.1310924549605773E-2</v>
      </c>
    </row>
    <row r="1058" spans="1:9" x14ac:dyDescent="0.3">
      <c r="A1058" s="4" t="s">
        <v>65</v>
      </c>
      <c r="B1058" s="3">
        <v>2017</v>
      </c>
      <c r="C1058" s="4" t="s">
        <v>98</v>
      </c>
      <c r="D1058" s="4" t="s">
        <v>5</v>
      </c>
      <c r="E1058" s="3">
        <v>852</v>
      </c>
      <c r="F1058" s="3">
        <f>Merge2[[#This Row],[Coverage]]*100</f>
        <v>90</v>
      </c>
      <c r="G1058" s="1">
        <v>0.9</v>
      </c>
      <c r="H1058" s="3">
        <v>55652890</v>
      </c>
      <c r="I1058" s="2">
        <v>1.5309178013936025</v>
      </c>
    </row>
    <row r="1059" spans="1:9" x14ac:dyDescent="0.3">
      <c r="A1059" s="4" t="s">
        <v>65</v>
      </c>
      <c r="B1059" s="3">
        <v>2018</v>
      </c>
      <c r="C1059" s="4" t="s">
        <v>98</v>
      </c>
      <c r="D1059" s="4" t="s">
        <v>5</v>
      </c>
      <c r="E1059" s="3">
        <v>74</v>
      </c>
      <c r="F1059" s="3">
        <f>Merge2[[#This Row],[Coverage]]*100</f>
        <v>88</v>
      </c>
      <c r="G1059" s="1">
        <v>0.88</v>
      </c>
      <c r="H1059" s="3">
        <v>57437145</v>
      </c>
      <c r="I1059" s="2">
        <v>0.12883648725924662</v>
      </c>
    </row>
    <row r="1060" spans="1:9" x14ac:dyDescent="0.3">
      <c r="A1060" s="4" t="s">
        <v>65</v>
      </c>
      <c r="B1060" s="3">
        <v>2019</v>
      </c>
      <c r="C1060" s="4" t="s">
        <v>98</v>
      </c>
      <c r="D1060" s="4" t="s">
        <v>5</v>
      </c>
      <c r="E1060" s="3">
        <v>120</v>
      </c>
      <c r="F1060" s="3">
        <f>Merge2[[#This Row],[Coverage]]*100</f>
        <v>89</v>
      </c>
      <c r="G1060" s="1">
        <v>0.89</v>
      </c>
      <c r="H1060" s="3">
        <v>59174891</v>
      </c>
      <c r="I1060" s="2">
        <v>0.20278871320607925</v>
      </c>
    </row>
    <row r="1061" spans="1:9" x14ac:dyDescent="0.3">
      <c r="A1061" s="4" t="s">
        <v>65</v>
      </c>
      <c r="B1061" s="3">
        <v>2020</v>
      </c>
      <c r="C1061" s="4" t="s">
        <v>98</v>
      </c>
      <c r="D1061" s="4" t="s">
        <v>5</v>
      </c>
      <c r="E1061" s="3">
        <v>127</v>
      </c>
      <c r="F1061" s="3">
        <f>Merge2[[#This Row],[Coverage]]*100</f>
        <v>87</v>
      </c>
      <c r="G1061" s="1">
        <v>0.87</v>
      </c>
      <c r="H1061" s="3">
        <v>60972798</v>
      </c>
      <c r="I1061" s="2">
        <v>0.20828960481688899</v>
      </c>
    </row>
    <row r="1062" spans="1:9" x14ac:dyDescent="0.3">
      <c r="A1062" s="4" t="s">
        <v>65</v>
      </c>
      <c r="B1062" s="3">
        <v>2021</v>
      </c>
      <c r="C1062" s="4" t="s">
        <v>98</v>
      </c>
      <c r="D1062" s="4" t="s">
        <v>5</v>
      </c>
      <c r="E1062" s="3">
        <v>0</v>
      </c>
      <c r="F1062" s="3">
        <f>Merge2[[#This Row],[Coverage]]*100</f>
        <v>80</v>
      </c>
      <c r="G1062" s="1">
        <v>0.8</v>
      </c>
      <c r="H1062" s="3">
        <v>62830412</v>
      </c>
      <c r="I1062" s="2">
        <v>0</v>
      </c>
    </row>
    <row r="1063" spans="1:9" x14ac:dyDescent="0.3">
      <c r="A1063" s="4" t="s">
        <v>65</v>
      </c>
      <c r="B1063" s="3">
        <v>2022</v>
      </c>
      <c r="C1063" s="4" t="s">
        <v>98</v>
      </c>
      <c r="D1063" s="4" t="s">
        <v>5</v>
      </c>
      <c r="E1063" s="3">
        <v>612</v>
      </c>
      <c r="F1063" s="3">
        <f>Merge2[[#This Row],[Coverage]]*100</f>
        <v>84</v>
      </c>
      <c r="G1063" s="1">
        <v>0.84</v>
      </c>
      <c r="H1063" s="3">
        <v>64711821</v>
      </c>
      <c r="I1063" s="2">
        <v>0.94573138345156438</v>
      </c>
    </row>
    <row r="1064" spans="1:9" x14ac:dyDescent="0.3">
      <c r="A1064" s="4" t="s">
        <v>65</v>
      </c>
      <c r="B1064" s="3">
        <v>2023</v>
      </c>
      <c r="C1064" s="4" t="s">
        <v>98</v>
      </c>
      <c r="D1064" s="4" t="s">
        <v>5</v>
      </c>
      <c r="E1064" s="3">
        <v>2887</v>
      </c>
      <c r="F1064" s="3">
        <f>Merge2[[#This Row],[Coverage]]*100</f>
        <v>84</v>
      </c>
      <c r="G1064" s="1">
        <v>0.84</v>
      </c>
      <c r="H1064" s="3">
        <v>66617606</v>
      </c>
      <c r="I1064" s="2">
        <v>4.333689205223016</v>
      </c>
    </row>
    <row r="1065" spans="1:9" x14ac:dyDescent="0.3">
      <c r="A1065" s="4" t="s">
        <v>65</v>
      </c>
      <c r="B1065" s="3">
        <v>2024</v>
      </c>
      <c r="C1065" s="4" t="s">
        <v>98</v>
      </c>
      <c r="D1065" s="4" t="s">
        <v>5</v>
      </c>
      <c r="E1065" s="3">
        <v>992</v>
      </c>
      <c r="F1065" s="3">
        <f>Merge2[[#This Row],[Coverage]]*100</f>
        <v>84</v>
      </c>
      <c r="G1065" s="1">
        <v>0.84</v>
      </c>
      <c r="H1065" s="3">
        <v>68560157</v>
      </c>
      <c r="I1065" s="2">
        <v>1.4469045046089961</v>
      </c>
    </row>
    <row r="1066" spans="1:9" x14ac:dyDescent="0.3">
      <c r="A1066" s="4" t="s">
        <v>64</v>
      </c>
      <c r="B1066" s="3">
        <v>2000</v>
      </c>
      <c r="C1066" s="4" t="s">
        <v>99</v>
      </c>
      <c r="D1066" s="4" t="s">
        <v>5</v>
      </c>
      <c r="E1066" s="3">
        <v>42554</v>
      </c>
      <c r="F1066" s="3">
        <f>Merge2[[#This Row],[Coverage]]*100</f>
        <v>56.999999999999993</v>
      </c>
      <c r="G1066" s="1">
        <v>0.56999999999999995</v>
      </c>
      <c r="H1066" s="3">
        <v>24000150</v>
      </c>
      <c r="I1066" s="2">
        <v>177.30722516317607</v>
      </c>
    </row>
    <row r="1067" spans="1:9" x14ac:dyDescent="0.3">
      <c r="A1067" s="4" t="s">
        <v>64</v>
      </c>
      <c r="B1067" s="3">
        <v>2001</v>
      </c>
      <c r="C1067" s="4" t="s">
        <v>99</v>
      </c>
      <c r="D1067" s="4" t="s">
        <v>5</v>
      </c>
      <c r="E1067" s="3">
        <v>48543</v>
      </c>
      <c r="F1067" s="3">
        <f>Merge2[[#This Row],[Coverage]]*100</f>
        <v>59</v>
      </c>
      <c r="G1067" s="1">
        <v>0.59</v>
      </c>
      <c r="H1067" s="3">
        <v>24745676</v>
      </c>
      <c r="I1067" s="2">
        <v>196.16760520100564</v>
      </c>
    </row>
    <row r="1068" spans="1:9" x14ac:dyDescent="0.3">
      <c r="A1068" s="4" t="s">
        <v>64</v>
      </c>
      <c r="B1068" s="3">
        <v>2002</v>
      </c>
      <c r="C1068" s="4" t="s">
        <v>99</v>
      </c>
      <c r="D1068" s="4" t="s">
        <v>5</v>
      </c>
      <c r="E1068" s="3">
        <v>49871</v>
      </c>
      <c r="F1068" s="3">
        <f>Merge2[[#This Row],[Coverage]]*100</f>
        <v>62</v>
      </c>
      <c r="G1068" s="1">
        <v>0.62</v>
      </c>
      <c r="H1068" s="3">
        <v>25532870</v>
      </c>
      <c r="I1068" s="2">
        <v>195.32077670861128</v>
      </c>
    </row>
    <row r="1069" spans="1:9" x14ac:dyDescent="0.3">
      <c r="A1069" s="4" t="s">
        <v>64</v>
      </c>
      <c r="B1069" s="3">
        <v>2003</v>
      </c>
      <c r="C1069" s="4" t="s">
        <v>99</v>
      </c>
      <c r="D1069" s="4" t="s">
        <v>5</v>
      </c>
      <c r="E1069" s="3">
        <v>29429</v>
      </c>
      <c r="F1069" s="3">
        <f>Merge2[[#This Row],[Coverage]]*100</f>
        <v>64</v>
      </c>
      <c r="G1069" s="1">
        <v>0.64</v>
      </c>
      <c r="H1069" s="3">
        <v>26352124</v>
      </c>
      <c r="I1069" s="2">
        <v>111.67600759619982</v>
      </c>
    </row>
    <row r="1070" spans="1:9" x14ac:dyDescent="0.3">
      <c r="A1070" s="4" t="s">
        <v>64</v>
      </c>
      <c r="B1070" s="3">
        <v>2004</v>
      </c>
      <c r="C1070" s="4" t="s">
        <v>99</v>
      </c>
      <c r="D1070" s="4" t="s">
        <v>5</v>
      </c>
      <c r="E1070" s="3">
        <v>141</v>
      </c>
      <c r="F1070" s="3">
        <f>Merge2[[#This Row],[Coverage]]*100</f>
        <v>66</v>
      </c>
      <c r="G1070" s="1">
        <v>0.66</v>
      </c>
      <c r="H1070" s="3">
        <v>27154515</v>
      </c>
      <c r="I1070" s="2">
        <v>0.51925066604945802</v>
      </c>
    </row>
    <row r="1071" spans="1:9" x14ac:dyDescent="0.3">
      <c r="A1071" s="4" t="s">
        <v>64</v>
      </c>
      <c r="B1071" s="3">
        <v>2005</v>
      </c>
      <c r="C1071" s="4" t="s">
        <v>99</v>
      </c>
      <c r="D1071" s="4" t="s">
        <v>5</v>
      </c>
      <c r="E1071" s="3">
        <v>22</v>
      </c>
      <c r="F1071" s="3">
        <f>Merge2[[#This Row],[Coverage]]*100</f>
        <v>68</v>
      </c>
      <c r="G1071" s="1">
        <v>0.68</v>
      </c>
      <c r="H1071" s="3">
        <v>27963289</v>
      </c>
      <c r="I1071" s="2">
        <v>7.8674579374407638E-2</v>
      </c>
    </row>
    <row r="1072" spans="1:9" x14ac:dyDescent="0.3">
      <c r="A1072" s="4" t="s">
        <v>64</v>
      </c>
      <c r="B1072" s="3">
        <v>2006</v>
      </c>
      <c r="C1072" s="4" t="s">
        <v>99</v>
      </c>
      <c r="D1072" s="4" t="s">
        <v>5</v>
      </c>
      <c r="E1072" s="3">
        <v>5736</v>
      </c>
      <c r="F1072" s="3">
        <f>Merge2[[#This Row],[Coverage]]*100</f>
        <v>75</v>
      </c>
      <c r="G1072" s="1">
        <v>0.75</v>
      </c>
      <c r="H1072" s="3">
        <v>28794003</v>
      </c>
      <c r="I1072" s="2">
        <v>19.920814761323737</v>
      </c>
    </row>
    <row r="1073" spans="1:9" x14ac:dyDescent="0.3">
      <c r="A1073" s="4" t="s">
        <v>64</v>
      </c>
      <c r="B1073" s="3">
        <v>2007</v>
      </c>
      <c r="C1073" s="4" t="s">
        <v>99</v>
      </c>
      <c r="D1073" s="4" t="s">
        <v>5</v>
      </c>
      <c r="E1073" s="3">
        <v>3776</v>
      </c>
      <c r="F1073" s="3">
        <f>Merge2[[#This Row],[Coverage]]*100</f>
        <v>75</v>
      </c>
      <c r="G1073" s="1">
        <v>0.75</v>
      </c>
      <c r="H1073" s="3">
        <v>29653430</v>
      </c>
      <c r="I1073" s="2">
        <v>12.733771438919543</v>
      </c>
    </row>
    <row r="1074" spans="1:9" x14ac:dyDescent="0.3">
      <c r="A1074" s="4" t="s">
        <v>64</v>
      </c>
      <c r="B1074" s="3">
        <v>2008</v>
      </c>
      <c r="C1074" s="4" t="s">
        <v>99</v>
      </c>
      <c r="D1074" s="4" t="s">
        <v>5</v>
      </c>
      <c r="E1074" s="3">
        <v>1319</v>
      </c>
      <c r="F1074" s="3">
        <f>Merge2[[#This Row],[Coverage]]*100</f>
        <v>70</v>
      </c>
      <c r="G1074" s="1">
        <v>0.7</v>
      </c>
      <c r="H1074" s="3">
        <v>30539553</v>
      </c>
      <c r="I1074" s="2">
        <v>4.3189892137583019</v>
      </c>
    </row>
    <row r="1075" spans="1:9" x14ac:dyDescent="0.3">
      <c r="A1075" s="4" t="s">
        <v>64</v>
      </c>
      <c r="B1075" s="3">
        <v>2009</v>
      </c>
      <c r="C1075" s="4" t="s">
        <v>99</v>
      </c>
      <c r="D1075" s="4" t="s">
        <v>5</v>
      </c>
      <c r="E1075" s="3">
        <v>1601</v>
      </c>
      <c r="F1075" s="3">
        <f>Merge2[[#This Row],[Coverage]]*100</f>
        <v>77</v>
      </c>
      <c r="G1075" s="1">
        <v>0.77</v>
      </c>
      <c r="H1075" s="3">
        <v>31451151</v>
      </c>
      <c r="I1075" s="2">
        <v>5.0904337332519241</v>
      </c>
    </row>
    <row r="1076" spans="1:9" x14ac:dyDescent="0.3">
      <c r="A1076" s="4" t="s">
        <v>64</v>
      </c>
      <c r="B1076" s="3">
        <v>2010</v>
      </c>
      <c r="C1076" s="4" t="s">
        <v>99</v>
      </c>
      <c r="D1076" s="4" t="s">
        <v>5</v>
      </c>
      <c r="E1076" s="3">
        <v>1313</v>
      </c>
      <c r="F1076" s="3">
        <f>Merge2[[#This Row],[Coverage]]*100</f>
        <v>73</v>
      </c>
      <c r="G1076" s="1">
        <v>0.73</v>
      </c>
      <c r="H1076" s="3">
        <v>32390802</v>
      </c>
      <c r="I1076" s="2">
        <v>4.0536199134556776</v>
      </c>
    </row>
    <row r="1077" spans="1:9" x14ac:dyDescent="0.3">
      <c r="A1077" s="4" t="s">
        <v>64</v>
      </c>
      <c r="B1077" s="3">
        <v>2011</v>
      </c>
      <c r="C1077" s="4" t="s">
        <v>99</v>
      </c>
      <c r="D1077" s="4" t="s">
        <v>5</v>
      </c>
      <c r="E1077" s="3">
        <v>3312</v>
      </c>
      <c r="F1077" s="3">
        <f>Merge2[[#This Row],[Coverage]]*100</f>
        <v>75</v>
      </c>
      <c r="G1077" s="1">
        <v>0.75</v>
      </c>
      <c r="H1077" s="3">
        <v>33354543</v>
      </c>
      <c r="I1077" s="2">
        <v>9.9296818427402833</v>
      </c>
    </row>
    <row r="1078" spans="1:9" x14ac:dyDescent="0.3">
      <c r="A1078" s="4" t="s">
        <v>64</v>
      </c>
      <c r="B1078" s="3">
        <v>2012</v>
      </c>
      <c r="C1078" s="4" t="s">
        <v>99</v>
      </c>
      <c r="D1078" s="4" t="s">
        <v>5</v>
      </c>
      <c r="E1078" s="3">
        <v>2027</v>
      </c>
      <c r="F1078" s="3">
        <f>Merge2[[#This Row],[Coverage]]*100</f>
        <v>80</v>
      </c>
      <c r="G1078" s="1">
        <v>0.8</v>
      </c>
      <c r="H1078" s="3">
        <v>34337438</v>
      </c>
      <c r="I1078" s="2">
        <v>5.9031777501862548</v>
      </c>
    </row>
    <row r="1079" spans="1:9" x14ac:dyDescent="0.3">
      <c r="A1079" s="4" t="s">
        <v>64</v>
      </c>
      <c r="B1079" s="3">
        <v>2013</v>
      </c>
      <c r="C1079" s="4" t="s">
        <v>99</v>
      </c>
      <c r="D1079" s="4" t="s">
        <v>5</v>
      </c>
      <c r="E1079" s="3">
        <v>7878</v>
      </c>
      <c r="F1079" s="3">
        <f>Merge2[[#This Row],[Coverage]]*100</f>
        <v>83</v>
      </c>
      <c r="G1079" s="1">
        <v>0.83</v>
      </c>
      <c r="H1079" s="3">
        <v>35337042</v>
      </c>
      <c r="I1079" s="2">
        <v>22.29388639830125</v>
      </c>
    </row>
    <row r="1080" spans="1:9" x14ac:dyDescent="0.3">
      <c r="A1080" s="4" t="s">
        <v>64</v>
      </c>
      <c r="B1080" s="3">
        <v>2014</v>
      </c>
      <c r="C1080" s="4" t="s">
        <v>99</v>
      </c>
      <c r="D1080" s="4" t="s">
        <v>5</v>
      </c>
      <c r="E1080" s="3">
        <v>314</v>
      </c>
      <c r="F1080" s="3">
        <f>Merge2[[#This Row],[Coverage]]*100</f>
        <v>85</v>
      </c>
      <c r="G1080" s="1">
        <v>0.85</v>
      </c>
      <c r="H1080" s="3">
        <v>36395539</v>
      </c>
      <c r="I1080" s="2">
        <v>0.86274309607009814</v>
      </c>
    </row>
    <row r="1081" spans="1:9" x14ac:dyDescent="0.3">
      <c r="A1081" s="4" t="s">
        <v>64</v>
      </c>
      <c r="B1081" s="3">
        <v>2015</v>
      </c>
      <c r="C1081" s="4" t="s">
        <v>99</v>
      </c>
      <c r="D1081" s="4" t="s">
        <v>5</v>
      </c>
      <c r="E1081" s="3">
        <v>478</v>
      </c>
      <c r="F1081" s="3">
        <f>Merge2[[#This Row],[Coverage]]*100</f>
        <v>79</v>
      </c>
      <c r="G1081" s="1">
        <v>0.79</v>
      </c>
      <c r="H1081" s="3">
        <v>37531446</v>
      </c>
      <c r="I1081" s="2">
        <v>1.2735986777594446</v>
      </c>
    </row>
    <row r="1082" spans="1:9" x14ac:dyDescent="0.3">
      <c r="A1082" s="4" t="s">
        <v>64</v>
      </c>
      <c r="B1082" s="3">
        <v>2016</v>
      </c>
      <c r="C1082" s="4" t="s">
        <v>99</v>
      </c>
      <c r="D1082" s="4" t="s">
        <v>5</v>
      </c>
      <c r="E1082" s="3">
        <v>139</v>
      </c>
      <c r="F1082" s="3">
        <f>Merge2[[#This Row],[Coverage]]*100</f>
        <v>79</v>
      </c>
      <c r="G1082" s="1">
        <v>0.79</v>
      </c>
      <c r="H1082" s="3">
        <v>38799152</v>
      </c>
      <c r="I1082" s="2">
        <v>0.35825525258902563</v>
      </c>
    </row>
    <row r="1083" spans="1:9" x14ac:dyDescent="0.3">
      <c r="A1083" s="4" t="s">
        <v>64</v>
      </c>
      <c r="B1083" s="3">
        <v>2017</v>
      </c>
      <c r="C1083" s="4" t="s">
        <v>99</v>
      </c>
      <c r="D1083" s="4" t="s">
        <v>5</v>
      </c>
      <c r="E1083" s="3">
        <v>1021</v>
      </c>
      <c r="F1083" s="3">
        <f>Merge2[[#This Row],[Coverage]]*100</f>
        <v>83</v>
      </c>
      <c r="G1083" s="1">
        <v>0.83</v>
      </c>
      <c r="H1083" s="3">
        <v>40177388</v>
      </c>
      <c r="I1083" s="2">
        <v>2.5412304055206376</v>
      </c>
    </row>
    <row r="1084" spans="1:9" x14ac:dyDescent="0.3">
      <c r="A1084" s="4" t="s">
        <v>64</v>
      </c>
      <c r="B1084" s="3">
        <v>2018</v>
      </c>
      <c r="C1084" s="4" t="s">
        <v>99</v>
      </c>
      <c r="D1084" s="4" t="s">
        <v>5</v>
      </c>
      <c r="E1084" s="3">
        <v>2627</v>
      </c>
      <c r="F1084" s="3">
        <f>Merge2[[#This Row],[Coverage]]*100</f>
        <v>86</v>
      </c>
      <c r="G1084" s="1">
        <v>0.86</v>
      </c>
      <c r="H1084" s="3">
        <v>41565831</v>
      </c>
      <c r="I1084" s="2">
        <v>6.3200949837860811</v>
      </c>
    </row>
    <row r="1085" spans="1:9" x14ac:dyDescent="0.3">
      <c r="A1085" s="4" t="s">
        <v>64</v>
      </c>
      <c r="B1085" s="3">
        <v>2019</v>
      </c>
      <c r="C1085" s="4" t="s">
        <v>99</v>
      </c>
      <c r="D1085" s="4" t="s">
        <v>5</v>
      </c>
      <c r="E1085" s="3">
        <v>920</v>
      </c>
      <c r="F1085" s="3">
        <f>Merge2[[#This Row],[Coverage]]*100</f>
        <v>87</v>
      </c>
      <c r="G1085" s="1">
        <v>0.87</v>
      </c>
      <c r="H1085" s="3">
        <v>42999637</v>
      </c>
      <c r="I1085" s="2">
        <v>2.139552945528354</v>
      </c>
    </row>
    <row r="1086" spans="1:9" x14ac:dyDescent="0.3">
      <c r="A1086" s="4" t="s">
        <v>64</v>
      </c>
      <c r="B1086" s="3">
        <v>2020</v>
      </c>
      <c r="C1086" s="4" t="s">
        <v>99</v>
      </c>
      <c r="D1086" s="4" t="s">
        <v>5</v>
      </c>
      <c r="E1086" s="3">
        <v>314</v>
      </c>
      <c r="F1086" s="3">
        <f>Merge2[[#This Row],[Coverage]]*100</f>
        <v>89</v>
      </c>
      <c r="G1086" s="1">
        <v>0.89</v>
      </c>
      <c r="H1086" s="3">
        <v>44457152</v>
      </c>
      <c r="I1086" s="2">
        <v>0.70629805526004008</v>
      </c>
    </row>
    <row r="1087" spans="1:9" x14ac:dyDescent="0.3">
      <c r="A1087" s="4" t="s">
        <v>64</v>
      </c>
      <c r="B1087" s="3">
        <v>2021</v>
      </c>
      <c r="C1087" s="4" t="s">
        <v>99</v>
      </c>
      <c r="D1087" s="4" t="s">
        <v>5</v>
      </c>
      <c r="E1087" s="3">
        <v>606</v>
      </c>
      <c r="F1087" s="3">
        <f>Merge2[[#This Row],[Coverage]]*100</f>
        <v>90</v>
      </c>
      <c r="G1087" s="1">
        <v>0.9</v>
      </c>
      <c r="H1087" s="3">
        <v>45910930</v>
      </c>
      <c r="I1087" s="2">
        <v>1.3199471237023515</v>
      </c>
    </row>
    <row r="1088" spans="1:9" x14ac:dyDescent="0.3">
      <c r="A1088" s="4" t="s">
        <v>64</v>
      </c>
      <c r="B1088" s="3">
        <v>2022</v>
      </c>
      <c r="C1088" s="4" t="s">
        <v>99</v>
      </c>
      <c r="D1088" s="4" t="s">
        <v>5</v>
      </c>
      <c r="E1088" s="3">
        <v>52</v>
      </c>
      <c r="F1088" s="3">
        <f>Merge2[[#This Row],[Coverage]]*100</f>
        <v>90</v>
      </c>
      <c r="G1088" s="1">
        <v>0.9</v>
      </c>
      <c r="H1088" s="3">
        <v>47312719</v>
      </c>
      <c r="I1088" s="2">
        <v>0.10990702098520273</v>
      </c>
    </row>
    <row r="1089" spans="1:9" x14ac:dyDescent="0.3">
      <c r="A1089" s="4" t="s">
        <v>64</v>
      </c>
      <c r="B1089" s="3">
        <v>2023</v>
      </c>
      <c r="C1089" s="4" t="s">
        <v>99</v>
      </c>
      <c r="D1089" s="4" t="s">
        <v>5</v>
      </c>
      <c r="E1089" s="3">
        <v>399</v>
      </c>
      <c r="F1089" s="3">
        <f>Merge2[[#This Row],[Coverage]]*100</f>
        <v>90</v>
      </c>
      <c r="G1089" s="1">
        <v>0.9</v>
      </c>
      <c r="H1089" s="3">
        <v>48656601</v>
      </c>
      <c r="I1089" s="2">
        <v>0.82003262003443267</v>
      </c>
    </row>
    <row r="1090" spans="1:9" x14ac:dyDescent="0.3">
      <c r="A1090" s="4" t="s">
        <v>64</v>
      </c>
      <c r="B1090" s="3">
        <v>2024</v>
      </c>
      <c r="C1090" s="4" t="s">
        <v>99</v>
      </c>
      <c r="D1090" s="4" t="s">
        <v>5</v>
      </c>
      <c r="E1090" s="3">
        <v>2180</v>
      </c>
      <c r="F1090" s="3">
        <f>Merge2[[#This Row],[Coverage]]*100</f>
        <v>90</v>
      </c>
      <c r="G1090" s="1">
        <v>0.9</v>
      </c>
      <c r="H1090" s="3">
        <v>50015092</v>
      </c>
      <c r="I1090" s="2">
        <v>4.3586843747083384</v>
      </c>
    </row>
    <row r="1091" spans="1:9" x14ac:dyDescent="0.3">
      <c r="A1091" s="4" t="s">
        <v>60</v>
      </c>
      <c r="B1091" s="3">
        <v>2000</v>
      </c>
      <c r="C1091" s="4" t="s">
        <v>100</v>
      </c>
      <c r="D1091" s="4" t="s">
        <v>5</v>
      </c>
      <c r="E1091" s="3">
        <v>1459</v>
      </c>
      <c r="F1091" s="3">
        <f>Merge2[[#This Row],[Coverage]]*100</f>
        <v>72</v>
      </c>
      <c r="G1091" s="1">
        <v>0.72</v>
      </c>
      <c r="H1091" s="3">
        <v>47159719</v>
      </c>
      <c r="I1091" s="2">
        <v>3.0937419283605148</v>
      </c>
    </row>
    <row r="1092" spans="1:9" x14ac:dyDescent="0.3">
      <c r="A1092" s="4" t="s">
        <v>60</v>
      </c>
      <c r="B1092" s="3">
        <v>2001</v>
      </c>
      <c r="C1092" s="4" t="s">
        <v>100</v>
      </c>
      <c r="D1092" s="4" t="s">
        <v>5</v>
      </c>
      <c r="E1092" s="3">
        <v>1166</v>
      </c>
      <c r="F1092" s="3">
        <f>Merge2[[#This Row],[Coverage]]*100</f>
        <v>69</v>
      </c>
      <c r="G1092" s="1">
        <v>0.69</v>
      </c>
      <c r="H1092" s="3">
        <v>47566800</v>
      </c>
      <c r="I1092" s="2">
        <v>2.4512895548996356</v>
      </c>
    </row>
    <row r="1093" spans="1:9" x14ac:dyDescent="0.3">
      <c r="A1093" s="4" t="s">
        <v>60</v>
      </c>
      <c r="B1093" s="3">
        <v>2002</v>
      </c>
      <c r="C1093" s="4" t="s">
        <v>100</v>
      </c>
      <c r="D1093" s="4" t="s">
        <v>5</v>
      </c>
      <c r="E1093" s="3">
        <v>1043</v>
      </c>
      <c r="F1093" s="3">
        <f>Merge2[[#This Row],[Coverage]]*100</f>
        <v>65</v>
      </c>
      <c r="G1093" s="1">
        <v>0.65</v>
      </c>
      <c r="H1093" s="3">
        <v>48019415</v>
      </c>
      <c r="I1093" s="2">
        <v>2.172038122496911</v>
      </c>
    </row>
    <row r="1094" spans="1:9" x14ac:dyDescent="0.3">
      <c r="A1094" s="4" t="s">
        <v>60</v>
      </c>
      <c r="B1094" s="3">
        <v>2003</v>
      </c>
      <c r="C1094" s="4" t="s">
        <v>100</v>
      </c>
      <c r="D1094" s="4" t="s">
        <v>5</v>
      </c>
      <c r="E1094" s="3">
        <v>244</v>
      </c>
      <c r="F1094" s="3">
        <f>Merge2[[#This Row],[Coverage]]*100</f>
        <v>62</v>
      </c>
      <c r="G1094" s="1">
        <v>0.62</v>
      </c>
      <c r="H1094" s="3">
        <v>48500348</v>
      </c>
      <c r="I1094" s="2">
        <v>0.50308917371067108</v>
      </c>
    </row>
    <row r="1095" spans="1:9" x14ac:dyDescent="0.3">
      <c r="A1095" s="4" t="s">
        <v>60</v>
      </c>
      <c r="B1095" s="3">
        <v>2004</v>
      </c>
      <c r="C1095" s="4" t="s">
        <v>100</v>
      </c>
      <c r="D1095" s="4" t="s">
        <v>5</v>
      </c>
      <c r="E1095" s="3">
        <v>830</v>
      </c>
      <c r="F1095" s="3">
        <f>Merge2[[#This Row],[Coverage]]*100</f>
        <v>63</v>
      </c>
      <c r="G1095" s="1">
        <v>0.63</v>
      </c>
      <c r="H1095" s="3">
        <v>48991421</v>
      </c>
      <c r="I1095" s="2">
        <v>1.6941741698000552</v>
      </c>
    </row>
    <row r="1096" spans="1:9" x14ac:dyDescent="0.3">
      <c r="A1096" s="4" t="s">
        <v>60</v>
      </c>
      <c r="B1096" s="3">
        <v>2005</v>
      </c>
      <c r="C1096" s="4" t="s">
        <v>100</v>
      </c>
      <c r="D1096" s="4" t="s">
        <v>5</v>
      </c>
      <c r="E1096" s="3">
        <v>615</v>
      </c>
      <c r="F1096" s="3">
        <f>Merge2[[#This Row],[Coverage]]*100</f>
        <v>64</v>
      </c>
      <c r="G1096" s="1">
        <v>0.64</v>
      </c>
      <c r="H1096" s="3">
        <v>49490033</v>
      </c>
      <c r="I1096" s="2">
        <v>1.2426744593199199</v>
      </c>
    </row>
    <row r="1097" spans="1:9" x14ac:dyDescent="0.3">
      <c r="A1097" s="4" t="s">
        <v>60</v>
      </c>
      <c r="B1097" s="3">
        <v>2006</v>
      </c>
      <c r="C1097" s="4" t="s">
        <v>100</v>
      </c>
      <c r="D1097" s="4" t="s">
        <v>5</v>
      </c>
      <c r="E1097" s="3">
        <v>81</v>
      </c>
      <c r="F1097" s="3">
        <f>Merge2[[#This Row],[Coverage]]*100</f>
        <v>69</v>
      </c>
      <c r="G1097" s="1">
        <v>0.69</v>
      </c>
      <c r="H1097" s="3">
        <v>49998277</v>
      </c>
      <c r="I1097" s="2">
        <v>0.16200558271238027</v>
      </c>
    </row>
    <row r="1098" spans="1:9" x14ac:dyDescent="0.3">
      <c r="A1098" s="4" t="s">
        <v>60</v>
      </c>
      <c r="B1098" s="3">
        <v>2007</v>
      </c>
      <c r="C1098" s="4" t="s">
        <v>100</v>
      </c>
      <c r="D1098" s="4" t="s">
        <v>5</v>
      </c>
      <c r="E1098" s="3">
        <v>31</v>
      </c>
      <c r="F1098" s="3">
        <f>Merge2[[#This Row],[Coverage]]*100</f>
        <v>68</v>
      </c>
      <c r="G1098" s="1">
        <v>0.68</v>
      </c>
      <c r="H1098" s="3">
        <v>50528584</v>
      </c>
      <c r="I1098" s="2">
        <v>6.1351412499507207E-2</v>
      </c>
    </row>
    <row r="1099" spans="1:9" x14ac:dyDescent="0.3">
      <c r="A1099" s="4" t="s">
        <v>60</v>
      </c>
      <c r="B1099" s="3">
        <v>2008</v>
      </c>
      <c r="C1099" s="4" t="s">
        <v>100</v>
      </c>
      <c r="D1099" s="4" t="s">
        <v>5</v>
      </c>
      <c r="E1099" s="3">
        <v>39</v>
      </c>
      <c r="F1099" s="3">
        <f>Merge2[[#This Row],[Coverage]]*100</f>
        <v>73</v>
      </c>
      <c r="G1099" s="1">
        <v>0.73</v>
      </c>
      <c r="H1099" s="3">
        <v>51114599</v>
      </c>
      <c r="I1099" s="2">
        <v>7.6299141073179505E-2</v>
      </c>
    </row>
    <row r="1100" spans="1:9" x14ac:dyDescent="0.3">
      <c r="A1100" s="4" t="s">
        <v>60</v>
      </c>
      <c r="B1100" s="3">
        <v>2009</v>
      </c>
      <c r="C1100" s="4" t="s">
        <v>100</v>
      </c>
      <c r="D1100" s="4" t="s">
        <v>5</v>
      </c>
      <c r="E1100" s="3">
        <v>5857</v>
      </c>
      <c r="F1100" s="3">
        <f>Merge2[[#This Row],[Coverage]]*100</f>
        <v>77</v>
      </c>
      <c r="G1100" s="1">
        <v>0.77</v>
      </c>
      <c r="H1100" s="3">
        <v>51728516</v>
      </c>
      <c r="I1100" s="2">
        <v>11.322574960395151</v>
      </c>
    </row>
    <row r="1101" spans="1:9" x14ac:dyDescent="0.3">
      <c r="A1101" s="4" t="s">
        <v>60</v>
      </c>
      <c r="B1101" s="3">
        <v>2010</v>
      </c>
      <c r="C1101" s="4" t="s">
        <v>100</v>
      </c>
      <c r="D1101" s="4" t="s">
        <v>5</v>
      </c>
      <c r="E1101" s="3">
        <v>12499</v>
      </c>
      <c r="F1101" s="3">
        <f>Merge2[[#This Row],[Coverage]]*100</f>
        <v>72</v>
      </c>
      <c r="G1101" s="1">
        <v>0.72</v>
      </c>
      <c r="H1101" s="3">
        <v>52344051</v>
      </c>
      <c r="I1101" s="2">
        <v>23.878549254814075</v>
      </c>
    </row>
    <row r="1102" spans="1:9" x14ac:dyDescent="0.3">
      <c r="A1102" s="4" t="s">
        <v>60</v>
      </c>
      <c r="B1102" s="3">
        <v>2011</v>
      </c>
      <c r="C1102" s="4" t="s">
        <v>100</v>
      </c>
      <c r="D1102" s="4" t="s">
        <v>5</v>
      </c>
      <c r="E1102" s="3">
        <v>92</v>
      </c>
      <c r="F1102" s="3">
        <f>Merge2[[#This Row],[Coverage]]*100</f>
        <v>77</v>
      </c>
      <c r="G1102" s="1">
        <v>0.77</v>
      </c>
      <c r="H1102" s="3">
        <v>52995205</v>
      </c>
      <c r="I1102" s="2">
        <v>0.17360061160250254</v>
      </c>
    </row>
    <row r="1103" spans="1:9" x14ac:dyDescent="0.3">
      <c r="A1103" s="4" t="s">
        <v>60</v>
      </c>
      <c r="B1103" s="3">
        <v>2012</v>
      </c>
      <c r="C1103" s="4" t="s">
        <v>100</v>
      </c>
      <c r="D1103" s="4" t="s">
        <v>5</v>
      </c>
      <c r="E1103" s="3">
        <v>32</v>
      </c>
      <c r="F1103" s="3">
        <f>Merge2[[#This Row],[Coverage]]*100</f>
        <v>79</v>
      </c>
      <c r="G1103" s="1">
        <v>0.79</v>
      </c>
      <c r="H1103" s="3">
        <v>53782567</v>
      </c>
      <c r="I1103" s="2">
        <v>5.9498833516072221E-2</v>
      </c>
    </row>
    <row r="1104" spans="1:9" x14ac:dyDescent="0.3">
      <c r="A1104" s="4" t="s">
        <v>60</v>
      </c>
      <c r="B1104" s="3">
        <v>2013</v>
      </c>
      <c r="C1104" s="4" t="s">
        <v>100</v>
      </c>
      <c r="D1104" s="4" t="s">
        <v>5</v>
      </c>
      <c r="E1104" s="3">
        <v>25</v>
      </c>
      <c r="F1104" s="3">
        <f>Merge2[[#This Row],[Coverage]]*100</f>
        <v>78</v>
      </c>
      <c r="G1104" s="1">
        <v>0.78</v>
      </c>
      <c r="H1104" s="3">
        <v>54678791</v>
      </c>
      <c r="I1104" s="2">
        <v>4.5721566886875759E-2</v>
      </c>
    </row>
    <row r="1105" spans="1:9" x14ac:dyDescent="0.3">
      <c r="A1105" s="4" t="s">
        <v>60</v>
      </c>
      <c r="B1105" s="3">
        <v>2014</v>
      </c>
      <c r="C1105" s="4" t="s">
        <v>100</v>
      </c>
      <c r="D1105" s="4" t="s">
        <v>5</v>
      </c>
      <c r="E1105" s="3">
        <v>66</v>
      </c>
      <c r="F1105" s="3">
        <f>Merge2[[#This Row],[Coverage]]*100</f>
        <v>84</v>
      </c>
      <c r="G1105" s="1">
        <v>0.84</v>
      </c>
      <c r="H1105" s="3">
        <v>55594838</v>
      </c>
      <c r="I1105" s="2">
        <v>0.11871605777500423</v>
      </c>
    </row>
    <row r="1106" spans="1:9" x14ac:dyDescent="0.3">
      <c r="A1106" s="4" t="s">
        <v>60</v>
      </c>
      <c r="B1106" s="3">
        <v>2015</v>
      </c>
      <c r="C1106" s="4" t="s">
        <v>100</v>
      </c>
      <c r="D1106" s="4" t="s">
        <v>5</v>
      </c>
      <c r="E1106" s="3">
        <v>17</v>
      </c>
      <c r="F1106" s="3">
        <f>Merge2[[#This Row],[Coverage]]*100</f>
        <v>86</v>
      </c>
      <c r="G1106" s="1">
        <v>0.86</v>
      </c>
      <c r="H1106" s="3">
        <v>56723537</v>
      </c>
      <c r="I1106" s="2">
        <v>2.9969922362210945E-2</v>
      </c>
    </row>
    <row r="1107" spans="1:9" x14ac:dyDescent="0.3">
      <c r="A1107" s="4" t="s">
        <v>60</v>
      </c>
      <c r="B1107" s="3">
        <v>2016</v>
      </c>
      <c r="C1107" s="4" t="s">
        <v>100</v>
      </c>
      <c r="D1107" s="4" t="s">
        <v>5</v>
      </c>
      <c r="E1107" s="3">
        <v>18</v>
      </c>
      <c r="F1107" s="3">
        <f>Merge2[[#This Row],[Coverage]]*100</f>
        <v>84</v>
      </c>
      <c r="G1107" s="1">
        <v>0.84</v>
      </c>
      <c r="H1107" s="3">
        <v>57259551</v>
      </c>
      <c r="I1107" s="2">
        <v>3.1435803609427534E-2</v>
      </c>
    </row>
    <row r="1108" spans="1:9" x14ac:dyDescent="0.3">
      <c r="A1108" s="4" t="s">
        <v>60</v>
      </c>
      <c r="B1108" s="3">
        <v>2017</v>
      </c>
      <c r="C1108" s="4" t="s">
        <v>100</v>
      </c>
      <c r="D1108" s="4" t="s">
        <v>5</v>
      </c>
      <c r="E1108" s="3">
        <v>210</v>
      </c>
      <c r="F1108" s="3">
        <f>Merge2[[#This Row],[Coverage]]*100</f>
        <v>81</v>
      </c>
      <c r="G1108" s="1">
        <v>0.81</v>
      </c>
      <c r="H1108" s="3">
        <v>57635162</v>
      </c>
      <c r="I1108" s="2">
        <v>0.36436090871055415</v>
      </c>
    </row>
    <row r="1109" spans="1:9" x14ac:dyDescent="0.3">
      <c r="A1109" s="4" t="s">
        <v>60</v>
      </c>
      <c r="B1109" s="3">
        <v>2018</v>
      </c>
      <c r="C1109" s="4" t="s">
        <v>100</v>
      </c>
      <c r="D1109" s="4" t="s">
        <v>5</v>
      </c>
      <c r="E1109" s="3">
        <v>71</v>
      </c>
      <c r="F1109" s="3">
        <f>Merge2[[#This Row],[Coverage]]*100</f>
        <v>81</v>
      </c>
      <c r="G1109" s="1">
        <v>0.81</v>
      </c>
      <c r="H1109" s="3">
        <v>58613001</v>
      </c>
      <c r="I1109" s="2">
        <v>0.12113353486200101</v>
      </c>
    </row>
    <row r="1110" spans="1:9" x14ac:dyDescent="0.3">
      <c r="A1110" s="4" t="s">
        <v>60</v>
      </c>
      <c r="B1110" s="3">
        <v>2019</v>
      </c>
      <c r="C1110" s="4" t="s">
        <v>100</v>
      </c>
      <c r="D1110" s="4" t="s">
        <v>5</v>
      </c>
      <c r="E1110" s="3">
        <v>59</v>
      </c>
      <c r="F1110" s="3">
        <f>Merge2[[#This Row],[Coverage]]*100</f>
        <v>83</v>
      </c>
      <c r="G1110" s="1">
        <v>0.83</v>
      </c>
      <c r="H1110" s="3">
        <v>59587885</v>
      </c>
      <c r="I1110" s="2">
        <v>9.901341522693749E-2</v>
      </c>
    </row>
    <row r="1111" spans="1:9" x14ac:dyDescent="0.3">
      <c r="A1111" s="4" t="s">
        <v>60</v>
      </c>
      <c r="B1111" s="3">
        <v>2020</v>
      </c>
      <c r="C1111" s="4" t="s">
        <v>100</v>
      </c>
      <c r="D1111" s="4" t="s">
        <v>5</v>
      </c>
      <c r="E1111" s="3">
        <v>40</v>
      </c>
      <c r="F1111" s="3">
        <f>Merge2[[#This Row],[Coverage]]*100</f>
        <v>84</v>
      </c>
      <c r="G1111" s="1">
        <v>0.84</v>
      </c>
      <c r="H1111" s="3">
        <v>60562381</v>
      </c>
      <c r="I1111" s="2">
        <v>6.604760139797014E-2</v>
      </c>
    </row>
    <row r="1112" spans="1:9" x14ac:dyDescent="0.3">
      <c r="A1112" s="4" t="s">
        <v>60</v>
      </c>
      <c r="B1112" s="3">
        <v>2021</v>
      </c>
      <c r="C1112" s="4" t="s">
        <v>100</v>
      </c>
      <c r="D1112" s="4" t="s">
        <v>5</v>
      </c>
      <c r="E1112" s="3">
        <v>21</v>
      </c>
      <c r="F1112" s="3">
        <f>Merge2[[#This Row],[Coverage]]*100</f>
        <v>87</v>
      </c>
      <c r="G1112" s="1">
        <v>0.87</v>
      </c>
      <c r="H1112" s="3">
        <v>61502603</v>
      </c>
      <c r="I1112" s="2">
        <v>3.4144896273739823E-2</v>
      </c>
    </row>
    <row r="1113" spans="1:9" x14ac:dyDescent="0.3">
      <c r="A1113" s="4" t="s">
        <v>60</v>
      </c>
      <c r="B1113" s="3">
        <v>2022</v>
      </c>
      <c r="C1113" s="4" t="s">
        <v>100</v>
      </c>
      <c r="D1113" s="4" t="s">
        <v>5</v>
      </c>
      <c r="E1113" s="3">
        <v>400</v>
      </c>
      <c r="F1113" s="3">
        <f>Merge2[[#This Row],[Coverage]]*100</f>
        <v>86</v>
      </c>
      <c r="G1113" s="1">
        <v>0.86</v>
      </c>
      <c r="H1113" s="3">
        <v>62378410</v>
      </c>
      <c r="I1113" s="2">
        <v>0.64124750855303947</v>
      </c>
    </row>
    <row r="1114" spans="1:9" x14ac:dyDescent="0.3">
      <c r="A1114" s="4" t="s">
        <v>60</v>
      </c>
      <c r="B1114" s="3">
        <v>2023</v>
      </c>
      <c r="C1114" s="4" t="s">
        <v>100</v>
      </c>
      <c r="D1114" s="4" t="s">
        <v>5</v>
      </c>
      <c r="E1114" s="3">
        <v>1033</v>
      </c>
      <c r="F1114" s="3">
        <f>Merge2[[#This Row],[Coverage]]*100</f>
        <v>80</v>
      </c>
      <c r="G1114" s="1">
        <v>0.8</v>
      </c>
      <c r="H1114" s="3">
        <v>63212384</v>
      </c>
      <c r="I1114" s="2">
        <v>1.634173455631732</v>
      </c>
    </row>
    <row r="1115" spans="1:9" x14ac:dyDescent="0.3">
      <c r="A1115" s="4" t="s">
        <v>60</v>
      </c>
      <c r="B1115" s="3">
        <v>2024</v>
      </c>
      <c r="C1115" s="4" t="s">
        <v>100</v>
      </c>
      <c r="D1115" s="4" t="s">
        <v>5</v>
      </c>
      <c r="E1115" s="3">
        <v>931</v>
      </c>
      <c r="F1115" s="3">
        <f>Merge2[[#This Row],[Coverage]]*100</f>
        <v>76</v>
      </c>
      <c r="G1115" s="1">
        <v>0.76</v>
      </c>
      <c r="H1115" s="3">
        <v>64007187</v>
      </c>
      <c r="I1115" s="2">
        <v>1.4545241614820534</v>
      </c>
    </row>
    <row r="1116" spans="1:9" x14ac:dyDescent="0.3">
      <c r="A1116" s="4" t="s">
        <v>66</v>
      </c>
      <c r="B1116" s="3">
        <v>2000</v>
      </c>
      <c r="C1116" s="4" t="s">
        <v>101</v>
      </c>
      <c r="D1116" s="4" t="s">
        <v>5</v>
      </c>
      <c r="E1116" s="3">
        <v>30930</v>
      </c>
      <c r="F1116" s="3">
        <f>Merge2[[#This Row],[Coverage]]*100</f>
        <v>85</v>
      </c>
      <c r="G1116" s="1">
        <v>0.85</v>
      </c>
      <c r="H1116" s="3">
        <v>10017631</v>
      </c>
      <c r="I1116" s="2">
        <v>308.7556329435572</v>
      </c>
    </row>
    <row r="1117" spans="1:9" x14ac:dyDescent="0.3">
      <c r="A1117" s="4" t="s">
        <v>66</v>
      </c>
      <c r="B1117" s="3">
        <v>2001</v>
      </c>
      <c r="C1117" s="4" t="s">
        <v>101</v>
      </c>
      <c r="D1117" s="4" t="s">
        <v>5</v>
      </c>
      <c r="E1117" s="3">
        <v>16997</v>
      </c>
      <c r="F1117" s="3">
        <f>Merge2[[#This Row],[Coverage]]*100</f>
        <v>84</v>
      </c>
      <c r="G1117" s="1">
        <v>0.84</v>
      </c>
      <c r="H1117" s="3">
        <v>10325185</v>
      </c>
      <c r="I1117" s="2">
        <v>164.61690516925361</v>
      </c>
    </row>
    <row r="1118" spans="1:9" x14ac:dyDescent="0.3">
      <c r="A1118" s="4" t="s">
        <v>66</v>
      </c>
      <c r="B1118" s="3">
        <v>2002</v>
      </c>
      <c r="C1118" s="4" t="s">
        <v>101</v>
      </c>
      <c r="D1118" s="4" t="s">
        <v>5</v>
      </c>
      <c r="E1118" s="3">
        <v>25036</v>
      </c>
      <c r="F1118" s="3">
        <f>Merge2[[#This Row],[Coverage]]*100</f>
        <v>84</v>
      </c>
      <c r="G1118" s="1">
        <v>0.84</v>
      </c>
      <c r="H1118" s="3">
        <v>10647949</v>
      </c>
      <c r="I1118" s="2">
        <v>235.12509310478478</v>
      </c>
    </row>
    <row r="1119" spans="1:9" x14ac:dyDescent="0.3">
      <c r="A1119" s="4" t="s">
        <v>66</v>
      </c>
      <c r="B1119" s="3">
        <v>2003</v>
      </c>
      <c r="C1119" s="4" t="s">
        <v>101</v>
      </c>
      <c r="D1119" s="4" t="s">
        <v>5</v>
      </c>
      <c r="E1119" s="3">
        <v>881</v>
      </c>
      <c r="F1119" s="3">
        <f>Merge2[[#This Row],[Coverage]]*100</f>
        <v>84</v>
      </c>
      <c r="G1119" s="1">
        <v>0.84</v>
      </c>
      <c r="H1119" s="3">
        <v>10983595</v>
      </c>
      <c r="I1119" s="2">
        <v>8.021053216182862</v>
      </c>
    </row>
    <row r="1120" spans="1:9" x14ac:dyDescent="0.3">
      <c r="A1120" s="4" t="s">
        <v>66</v>
      </c>
      <c r="B1120" s="3">
        <v>2004</v>
      </c>
      <c r="C1120" s="4" t="s">
        <v>101</v>
      </c>
      <c r="D1120" s="4" t="s">
        <v>5</v>
      </c>
      <c r="E1120" s="3">
        <v>35</v>
      </c>
      <c r="F1120" s="3">
        <f>Merge2[[#This Row],[Coverage]]*100</f>
        <v>85</v>
      </c>
      <c r="G1120" s="1">
        <v>0.85</v>
      </c>
      <c r="H1120" s="3">
        <v>11338198</v>
      </c>
      <c r="I1120" s="2">
        <v>0.30869102832742912</v>
      </c>
    </row>
    <row r="1121" spans="1:9" x14ac:dyDescent="0.3">
      <c r="A1121" s="4" t="s">
        <v>66</v>
      </c>
      <c r="B1121" s="3">
        <v>2005</v>
      </c>
      <c r="C1121" s="4" t="s">
        <v>101</v>
      </c>
      <c r="D1121" s="4" t="s">
        <v>5</v>
      </c>
      <c r="E1121" s="3">
        <v>45</v>
      </c>
      <c r="F1121" s="3">
        <f>Merge2[[#This Row],[Coverage]]*100</f>
        <v>85</v>
      </c>
      <c r="G1121" s="1">
        <v>0.85</v>
      </c>
      <c r="H1121" s="3">
        <v>11718819</v>
      </c>
      <c r="I1121" s="2">
        <v>0.38399773902131262</v>
      </c>
    </row>
    <row r="1122" spans="1:9" x14ac:dyDescent="0.3">
      <c r="A1122" s="4" t="s">
        <v>66</v>
      </c>
      <c r="B1122" s="3">
        <v>2006</v>
      </c>
      <c r="C1122" s="4" t="s">
        <v>101</v>
      </c>
      <c r="D1122" s="4" t="s">
        <v>5</v>
      </c>
      <c r="E1122" s="3">
        <v>459</v>
      </c>
      <c r="F1122" s="3">
        <f>Merge2[[#This Row],[Coverage]]*100</f>
        <v>85</v>
      </c>
      <c r="G1122" s="1">
        <v>0.85</v>
      </c>
      <c r="H1122" s="3">
        <v>12129553</v>
      </c>
      <c r="I1122" s="2">
        <v>3.7841460439638626</v>
      </c>
    </row>
    <row r="1123" spans="1:9" x14ac:dyDescent="0.3">
      <c r="A1123" s="4" t="s">
        <v>66</v>
      </c>
      <c r="B1123" s="3">
        <v>2007</v>
      </c>
      <c r="C1123" s="4" t="s">
        <v>101</v>
      </c>
      <c r="D1123" s="4" t="s">
        <v>5</v>
      </c>
      <c r="E1123" s="3">
        <v>535</v>
      </c>
      <c r="F1123" s="3">
        <f>Merge2[[#This Row],[Coverage]]*100</f>
        <v>93</v>
      </c>
      <c r="G1123" s="1">
        <v>0.93</v>
      </c>
      <c r="H1123" s="3">
        <v>12565085</v>
      </c>
      <c r="I1123" s="2">
        <v>4.2578303290427408</v>
      </c>
    </row>
    <row r="1124" spans="1:9" x14ac:dyDescent="0.3">
      <c r="A1124" s="4" t="s">
        <v>66</v>
      </c>
      <c r="B1124" s="3">
        <v>2008</v>
      </c>
      <c r="C1124" s="4" t="s">
        <v>101</v>
      </c>
      <c r="D1124" s="4" t="s">
        <v>5</v>
      </c>
      <c r="E1124" s="3">
        <v>140</v>
      </c>
      <c r="F1124" s="3">
        <f>Merge2[[#This Row],[Coverage]]*100</f>
        <v>87</v>
      </c>
      <c r="G1124" s="1">
        <v>0.87</v>
      </c>
      <c r="H1124" s="3">
        <v>13021324</v>
      </c>
      <c r="I1124" s="2">
        <v>1.0751594845501118</v>
      </c>
    </row>
    <row r="1125" spans="1:9" x14ac:dyDescent="0.3">
      <c r="A1125" s="4" t="s">
        <v>66</v>
      </c>
      <c r="B1125" s="3">
        <v>2009</v>
      </c>
      <c r="C1125" s="4" t="s">
        <v>101</v>
      </c>
      <c r="D1125" s="4" t="s">
        <v>5</v>
      </c>
      <c r="E1125" s="3">
        <v>26</v>
      </c>
      <c r="F1125" s="3">
        <f>Merge2[[#This Row],[Coverage]]*100</f>
        <v>90</v>
      </c>
      <c r="G1125" s="1">
        <v>0.9</v>
      </c>
      <c r="H1125" s="3">
        <v>13490389</v>
      </c>
      <c r="I1125" s="2">
        <v>0.19272980193528891</v>
      </c>
    </row>
    <row r="1126" spans="1:9" x14ac:dyDescent="0.3">
      <c r="A1126" s="4" t="s">
        <v>66</v>
      </c>
      <c r="B1126" s="3">
        <v>2010</v>
      </c>
      <c r="C1126" s="4" t="s">
        <v>101</v>
      </c>
      <c r="D1126" s="4" t="s">
        <v>5</v>
      </c>
      <c r="E1126" s="3">
        <v>15754</v>
      </c>
      <c r="F1126" s="3">
        <f>Merge2[[#This Row],[Coverage]]*100</f>
        <v>96</v>
      </c>
      <c r="G1126" s="1">
        <v>0.96</v>
      </c>
      <c r="H1126" s="3">
        <v>13965594</v>
      </c>
      <c r="I1126" s="2">
        <v>112.80579973898712</v>
      </c>
    </row>
    <row r="1127" spans="1:9" x14ac:dyDescent="0.3">
      <c r="A1127" s="4" t="s">
        <v>66</v>
      </c>
      <c r="B1127" s="3">
        <v>2011</v>
      </c>
      <c r="C1127" s="4" t="s">
        <v>101</v>
      </c>
      <c r="D1127" s="4" t="s">
        <v>5</v>
      </c>
      <c r="E1127" s="3">
        <v>13234</v>
      </c>
      <c r="F1127" s="3">
        <f>Merge2[[#This Row],[Coverage]]*100</f>
        <v>83</v>
      </c>
      <c r="G1127" s="1">
        <v>0.83</v>
      </c>
      <c r="H1127" s="3">
        <v>14437796</v>
      </c>
      <c r="I1127" s="2">
        <v>91.662189990771452</v>
      </c>
    </row>
    <row r="1128" spans="1:9" x14ac:dyDescent="0.3">
      <c r="A1128" s="4" t="s">
        <v>66</v>
      </c>
      <c r="B1128" s="3">
        <v>2012</v>
      </c>
      <c r="C1128" s="4" t="s">
        <v>101</v>
      </c>
      <c r="D1128" s="4" t="s">
        <v>5</v>
      </c>
      <c r="E1128" s="3">
        <v>896</v>
      </c>
      <c r="F1128" s="3">
        <f>Merge2[[#This Row],[Coverage]]*100</f>
        <v>82</v>
      </c>
      <c r="G1128" s="1">
        <v>0.82</v>
      </c>
      <c r="H1128" s="3">
        <v>14913629</v>
      </c>
      <c r="I1128" s="2">
        <v>6.0079273797142196</v>
      </c>
    </row>
    <row r="1129" spans="1:9" x14ac:dyDescent="0.3">
      <c r="A1129" s="4" t="s">
        <v>66</v>
      </c>
      <c r="B1129" s="3">
        <v>2013</v>
      </c>
      <c r="C1129" s="4" t="s">
        <v>101</v>
      </c>
      <c r="D1129" s="4" t="s">
        <v>5</v>
      </c>
      <c r="E1129" s="3">
        <v>35</v>
      </c>
      <c r="F1129" s="3">
        <f>Merge2[[#This Row],[Coverage]]*100</f>
        <v>80</v>
      </c>
      <c r="G1129" s="1">
        <v>0.8</v>
      </c>
      <c r="H1129" s="3">
        <v>15398997</v>
      </c>
      <c r="I1129" s="2">
        <v>0.22728753048006956</v>
      </c>
    </row>
    <row r="1130" spans="1:9" x14ac:dyDescent="0.3">
      <c r="A1130" s="4" t="s">
        <v>66</v>
      </c>
      <c r="B1130" s="3">
        <v>2014</v>
      </c>
      <c r="C1130" s="4" t="s">
        <v>101</v>
      </c>
      <c r="D1130" s="4" t="s">
        <v>5</v>
      </c>
      <c r="E1130" s="3">
        <v>9</v>
      </c>
      <c r="F1130" s="3">
        <f>Merge2[[#This Row],[Coverage]]*100</f>
        <v>85</v>
      </c>
      <c r="G1130" s="1">
        <v>0.85</v>
      </c>
      <c r="H1130" s="3">
        <v>15895315</v>
      </c>
      <c r="I1130" s="2">
        <v>5.6620457034038014E-2</v>
      </c>
    </row>
    <row r="1131" spans="1:9" x14ac:dyDescent="0.3">
      <c r="A1131" s="4" t="s">
        <v>66</v>
      </c>
      <c r="B1131" s="3">
        <v>2015</v>
      </c>
      <c r="C1131" s="4" t="s">
        <v>101</v>
      </c>
      <c r="D1131" s="4" t="s">
        <v>5</v>
      </c>
      <c r="E1131" s="3">
        <v>9</v>
      </c>
      <c r="F1131" s="3">
        <f>Merge2[[#This Row],[Coverage]]*100</f>
        <v>90</v>
      </c>
      <c r="G1131" s="1">
        <v>0.9</v>
      </c>
      <c r="H1131" s="3">
        <v>16399089</v>
      </c>
      <c r="I1131" s="2">
        <v>5.48810973585179E-2</v>
      </c>
    </row>
    <row r="1132" spans="1:9" x14ac:dyDescent="0.3">
      <c r="A1132" s="4" t="s">
        <v>66</v>
      </c>
      <c r="B1132" s="3">
        <v>2016</v>
      </c>
      <c r="C1132" s="4" t="s">
        <v>101</v>
      </c>
      <c r="D1132" s="4" t="s">
        <v>5</v>
      </c>
      <c r="E1132" s="3">
        <v>8</v>
      </c>
      <c r="F1132" s="3">
        <f>Merge2[[#This Row],[Coverage]]*100</f>
        <v>97</v>
      </c>
      <c r="G1132" s="1">
        <v>0.97</v>
      </c>
      <c r="H1132" s="3">
        <v>16914423</v>
      </c>
      <c r="I1132" s="2">
        <v>4.7296913409343021E-2</v>
      </c>
    </row>
    <row r="1133" spans="1:9" x14ac:dyDescent="0.3">
      <c r="A1133" s="4" t="s">
        <v>66</v>
      </c>
      <c r="B1133" s="3">
        <v>2017</v>
      </c>
      <c r="C1133" s="4" t="s">
        <v>101</v>
      </c>
      <c r="D1133" s="4" t="s">
        <v>5</v>
      </c>
      <c r="E1133" s="3">
        <v>13</v>
      </c>
      <c r="F1133" s="3">
        <f>Merge2[[#This Row],[Coverage]]*100</f>
        <v>96</v>
      </c>
      <c r="G1133" s="1">
        <v>0.96</v>
      </c>
      <c r="H1133" s="3">
        <v>17441320</v>
      </c>
      <c r="I1133" s="2">
        <v>7.453564294445604E-2</v>
      </c>
    </row>
    <row r="1134" spans="1:9" x14ac:dyDescent="0.3">
      <c r="A1134" s="4" t="s">
        <v>66</v>
      </c>
      <c r="B1134" s="3">
        <v>2018</v>
      </c>
      <c r="C1134" s="4" t="s">
        <v>101</v>
      </c>
      <c r="D1134" s="4" t="s">
        <v>5</v>
      </c>
      <c r="E1134" s="3">
        <v>11</v>
      </c>
      <c r="F1134" s="3">
        <f>Merge2[[#This Row],[Coverage]]*100</f>
        <v>94</v>
      </c>
      <c r="G1134" s="1">
        <v>0.94</v>
      </c>
      <c r="H1134" s="3">
        <v>17973569</v>
      </c>
      <c r="I1134" s="2">
        <v>6.1200977947117791E-2</v>
      </c>
    </row>
    <row r="1135" spans="1:9" x14ac:dyDescent="0.3">
      <c r="A1135" s="4" t="s">
        <v>66</v>
      </c>
      <c r="B1135" s="3">
        <v>2019</v>
      </c>
      <c r="C1135" s="4" t="s">
        <v>101</v>
      </c>
      <c r="D1135" s="4" t="s">
        <v>5</v>
      </c>
      <c r="E1135" s="3">
        <v>15</v>
      </c>
      <c r="F1135" s="3">
        <f>Merge2[[#This Row],[Coverage]]*100</f>
        <v>93</v>
      </c>
      <c r="G1135" s="1">
        <v>0.93</v>
      </c>
      <c r="H1135" s="3">
        <v>18513839</v>
      </c>
      <c r="I1135" s="2">
        <v>8.1020473387502179E-2</v>
      </c>
    </row>
    <row r="1136" spans="1:9" x14ac:dyDescent="0.3">
      <c r="A1136" s="4" t="s">
        <v>66</v>
      </c>
      <c r="B1136" s="3">
        <v>2020</v>
      </c>
      <c r="C1136" s="4" t="s">
        <v>101</v>
      </c>
      <c r="D1136" s="4" t="s">
        <v>5</v>
      </c>
      <c r="E1136" s="3">
        <v>237</v>
      </c>
      <c r="F1136" s="3">
        <f>Merge2[[#This Row],[Coverage]]*100</f>
        <v>96</v>
      </c>
      <c r="G1136" s="1">
        <v>0.96</v>
      </c>
      <c r="H1136" s="3">
        <v>19059395</v>
      </c>
      <c r="I1136" s="2">
        <v>1.2434812332710456</v>
      </c>
    </row>
    <row r="1137" spans="1:9" x14ac:dyDescent="0.3">
      <c r="A1137" s="4" t="s">
        <v>66</v>
      </c>
      <c r="B1137" s="3">
        <v>2021</v>
      </c>
      <c r="C1137" s="4" t="s">
        <v>101</v>
      </c>
      <c r="D1137" s="4" t="s">
        <v>5</v>
      </c>
      <c r="E1137" s="3">
        <v>55</v>
      </c>
      <c r="F1137" s="3">
        <f>Merge2[[#This Row],[Coverage]]*100</f>
        <v>90</v>
      </c>
      <c r="G1137" s="1">
        <v>0.9</v>
      </c>
      <c r="H1137" s="3">
        <v>19603607</v>
      </c>
      <c r="I1137" s="2">
        <v>0.28056061315654818</v>
      </c>
    </row>
    <row r="1138" spans="1:9" x14ac:dyDescent="0.3">
      <c r="A1138" s="4" t="s">
        <v>66</v>
      </c>
      <c r="B1138" s="3">
        <v>2022</v>
      </c>
      <c r="C1138" s="4" t="s">
        <v>101</v>
      </c>
      <c r="D1138" s="4" t="s">
        <v>5</v>
      </c>
      <c r="E1138" s="3">
        <v>1755</v>
      </c>
      <c r="F1138" s="3">
        <f>Merge2[[#This Row],[Coverage]]*100</f>
        <v>88</v>
      </c>
      <c r="G1138" s="1">
        <v>0.88</v>
      </c>
      <c r="H1138" s="3">
        <v>20152938</v>
      </c>
      <c r="I1138" s="2">
        <v>8.7084076773322074</v>
      </c>
    </row>
    <row r="1139" spans="1:9" x14ac:dyDescent="0.3">
      <c r="A1139" s="4" t="s">
        <v>66</v>
      </c>
      <c r="B1139" s="3">
        <v>2023</v>
      </c>
      <c r="C1139" s="4" t="s">
        <v>101</v>
      </c>
      <c r="D1139" s="4" t="s">
        <v>5</v>
      </c>
      <c r="E1139" s="3">
        <v>5653</v>
      </c>
      <c r="F1139" s="3">
        <f>Merge2[[#This Row],[Coverage]]*100</f>
        <v>83</v>
      </c>
      <c r="G1139" s="1">
        <v>0.83</v>
      </c>
      <c r="H1139" s="3">
        <v>20723965</v>
      </c>
      <c r="I1139" s="2">
        <v>27.277598664155242</v>
      </c>
    </row>
    <row r="1140" spans="1:9" x14ac:dyDescent="0.3">
      <c r="A1140" s="4" t="s">
        <v>66</v>
      </c>
      <c r="B1140" s="3">
        <v>2024</v>
      </c>
      <c r="C1140" s="4" t="s">
        <v>101</v>
      </c>
      <c r="D1140" s="4" t="s">
        <v>5</v>
      </c>
      <c r="E1140" s="3">
        <v>299</v>
      </c>
      <c r="F1140" s="3">
        <f>Merge2[[#This Row],[Coverage]]*100</f>
        <v>88</v>
      </c>
      <c r="G1140" s="1">
        <v>0.88</v>
      </c>
      <c r="H1140" s="3">
        <v>21314956</v>
      </c>
      <c r="I1140" s="2">
        <v>1.4027708994567007</v>
      </c>
    </row>
    <row r="1141" spans="1:9" x14ac:dyDescent="0.3">
      <c r="A1141" s="4" t="s">
        <v>67</v>
      </c>
      <c r="B1141" s="3">
        <v>2000</v>
      </c>
      <c r="C1141" s="4" t="s">
        <v>102</v>
      </c>
      <c r="D1141" s="4" t="s">
        <v>5</v>
      </c>
      <c r="E1141" s="3">
        <v>1483</v>
      </c>
      <c r="F1141" s="3">
        <f>Merge2[[#This Row],[Coverage]]*100</f>
        <v>75</v>
      </c>
      <c r="G1141" s="1">
        <v>0.75</v>
      </c>
      <c r="H1141" s="3">
        <v>11892055</v>
      </c>
      <c r="I1141" s="2">
        <v>12.470510773789726</v>
      </c>
    </row>
    <row r="1142" spans="1:9" x14ac:dyDescent="0.3">
      <c r="A1142" s="4" t="s">
        <v>67</v>
      </c>
      <c r="B1142" s="3">
        <v>2001</v>
      </c>
      <c r="C1142" s="4" t="s">
        <v>102</v>
      </c>
      <c r="D1142" s="4" t="s">
        <v>5</v>
      </c>
      <c r="E1142" s="3">
        <v>529</v>
      </c>
      <c r="F1142" s="3">
        <f>Merge2[[#This Row],[Coverage]]*100</f>
        <v>73</v>
      </c>
      <c r="G1142" s="1">
        <v>0.73</v>
      </c>
      <c r="H1142" s="3">
        <v>11971901</v>
      </c>
      <c r="I1142" s="2">
        <v>4.4186800408723732</v>
      </c>
    </row>
    <row r="1143" spans="1:9" x14ac:dyDescent="0.3">
      <c r="A1143" s="4" t="s">
        <v>67</v>
      </c>
      <c r="B1143" s="3">
        <v>2002</v>
      </c>
      <c r="C1143" s="4" t="s">
        <v>102</v>
      </c>
      <c r="D1143" s="4" t="s">
        <v>5</v>
      </c>
      <c r="E1143" s="3">
        <v>304</v>
      </c>
      <c r="F1143" s="3">
        <f>Merge2[[#This Row],[Coverage]]*100</f>
        <v>70</v>
      </c>
      <c r="G1143" s="1">
        <v>0.7</v>
      </c>
      <c r="H1143" s="3">
        <v>12087653</v>
      </c>
      <c r="I1143" s="2">
        <v>2.514962995711409</v>
      </c>
    </row>
    <row r="1144" spans="1:9" x14ac:dyDescent="0.3">
      <c r="A1144" s="4" t="s">
        <v>67</v>
      </c>
      <c r="B1144" s="3">
        <v>2003</v>
      </c>
      <c r="C1144" s="4" t="s">
        <v>102</v>
      </c>
      <c r="D1144" s="4" t="s">
        <v>5</v>
      </c>
      <c r="E1144" s="3">
        <v>998</v>
      </c>
      <c r="F1144" s="3">
        <f>Merge2[[#This Row],[Coverage]]*100</f>
        <v>68</v>
      </c>
      <c r="G1144" s="1">
        <v>0.68</v>
      </c>
      <c r="H1144" s="3">
        <v>12232323</v>
      </c>
      <c r="I1144" s="2">
        <v>8.1587119633776837</v>
      </c>
    </row>
    <row r="1145" spans="1:9" x14ac:dyDescent="0.3">
      <c r="A1145" s="4" t="s">
        <v>67</v>
      </c>
      <c r="B1145" s="3">
        <v>2004</v>
      </c>
      <c r="C1145" s="4" t="s">
        <v>102</v>
      </c>
      <c r="D1145" s="4" t="s">
        <v>5</v>
      </c>
      <c r="E1145" s="3">
        <v>31</v>
      </c>
      <c r="F1145" s="3">
        <f>Merge2[[#This Row],[Coverage]]*100</f>
        <v>66</v>
      </c>
      <c r="G1145" s="1">
        <v>0.66</v>
      </c>
      <c r="H1145" s="3">
        <v>12365896</v>
      </c>
      <c r="I1145" s="2">
        <v>0.25068947692912835</v>
      </c>
    </row>
    <row r="1146" spans="1:9" x14ac:dyDescent="0.3">
      <c r="A1146" s="4" t="s">
        <v>67</v>
      </c>
      <c r="B1146" s="3">
        <v>2005</v>
      </c>
      <c r="C1146" s="4" t="s">
        <v>102</v>
      </c>
      <c r="D1146" s="4" t="s">
        <v>5</v>
      </c>
      <c r="E1146" s="3">
        <v>420</v>
      </c>
      <c r="F1146" s="3">
        <f>Merge2[[#This Row],[Coverage]]*100</f>
        <v>67</v>
      </c>
      <c r="G1146" s="1">
        <v>0.67</v>
      </c>
      <c r="H1146" s="3">
        <v>12483432</v>
      </c>
      <c r="I1146" s="2">
        <v>3.3644593890526262</v>
      </c>
    </row>
    <row r="1147" spans="1:9" x14ac:dyDescent="0.3">
      <c r="A1147" s="4" t="s">
        <v>67</v>
      </c>
      <c r="B1147" s="3">
        <v>2006</v>
      </c>
      <c r="C1147" s="4" t="s">
        <v>102</v>
      </c>
      <c r="D1147" s="4" t="s">
        <v>5</v>
      </c>
      <c r="E1147" s="3">
        <v>212</v>
      </c>
      <c r="F1147" s="3">
        <f>Merge2[[#This Row],[Coverage]]*100</f>
        <v>68</v>
      </c>
      <c r="G1147" s="1">
        <v>0.68</v>
      </c>
      <c r="H1147" s="3">
        <v>12636445</v>
      </c>
      <c r="I1147" s="2">
        <v>1.6776870393532357</v>
      </c>
    </row>
    <row r="1148" spans="1:9" x14ac:dyDescent="0.3">
      <c r="A1148" s="4" t="s">
        <v>67</v>
      </c>
      <c r="B1148" s="3">
        <v>2007</v>
      </c>
      <c r="C1148" s="4" t="s">
        <v>102</v>
      </c>
      <c r="D1148" s="4" t="s">
        <v>5</v>
      </c>
      <c r="E1148" s="3">
        <v>242</v>
      </c>
      <c r="F1148" s="3">
        <f>Merge2[[#This Row],[Coverage]]*100</f>
        <v>69</v>
      </c>
      <c r="G1148" s="1">
        <v>0.69</v>
      </c>
      <c r="H1148" s="3">
        <v>12804058</v>
      </c>
      <c r="I1148" s="2">
        <v>1.8900258027572197</v>
      </c>
    </row>
    <row r="1149" spans="1:9" x14ac:dyDescent="0.3">
      <c r="A1149" s="4" t="s">
        <v>67</v>
      </c>
      <c r="B1149" s="3">
        <v>2008</v>
      </c>
      <c r="C1149" s="4" t="s">
        <v>102</v>
      </c>
      <c r="D1149" s="4" t="s">
        <v>5</v>
      </c>
      <c r="E1149" s="3">
        <v>0</v>
      </c>
      <c r="F1149" s="3">
        <f>Merge2[[#This Row],[Coverage]]*100</f>
        <v>70</v>
      </c>
      <c r="G1149" s="1">
        <v>0.7</v>
      </c>
      <c r="H1149" s="3">
        <v>12959149</v>
      </c>
      <c r="I1149" s="2">
        <v>0</v>
      </c>
    </row>
    <row r="1150" spans="1:9" x14ac:dyDescent="0.3">
      <c r="A1150" s="4" t="s">
        <v>67</v>
      </c>
      <c r="B1150" s="3">
        <v>2009</v>
      </c>
      <c r="C1150" s="4" t="s">
        <v>102</v>
      </c>
      <c r="D1150" s="4" t="s">
        <v>5</v>
      </c>
      <c r="E1150" s="3">
        <v>853</v>
      </c>
      <c r="F1150" s="3">
        <f>Merge2[[#This Row],[Coverage]]*100</f>
        <v>76</v>
      </c>
      <c r="G1150" s="1">
        <v>0.76</v>
      </c>
      <c r="H1150" s="3">
        <v>13142790</v>
      </c>
      <c r="I1150" s="2">
        <v>6.4902505480191035</v>
      </c>
    </row>
    <row r="1151" spans="1:9" x14ac:dyDescent="0.3">
      <c r="A1151" s="4" t="s">
        <v>67</v>
      </c>
      <c r="B1151" s="3">
        <v>2010</v>
      </c>
      <c r="C1151" s="4" t="s">
        <v>102</v>
      </c>
      <c r="D1151" s="4" t="s">
        <v>5</v>
      </c>
      <c r="E1151" s="3">
        <v>9696</v>
      </c>
      <c r="F1151" s="3">
        <f>Merge2[[#This Row],[Coverage]]*100</f>
        <v>90</v>
      </c>
      <c r="G1151" s="1">
        <v>0.9</v>
      </c>
      <c r="H1151" s="3">
        <v>13356548</v>
      </c>
      <c r="I1151" s="2">
        <v>72.59360727038154</v>
      </c>
    </row>
    <row r="1152" spans="1:9" x14ac:dyDescent="0.3">
      <c r="A1152" s="4" t="s">
        <v>67</v>
      </c>
      <c r="B1152" s="3">
        <v>2011</v>
      </c>
      <c r="C1152" s="4" t="s">
        <v>102</v>
      </c>
      <c r="D1152" s="4" t="s">
        <v>5</v>
      </c>
      <c r="E1152" s="3">
        <v>0</v>
      </c>
      <c r="F1152" s="3">
        <f>Merge2[[#This Row],[Coverage]]*100</f>
        <v>92</v>
      </c>
      <c r="G1152" s="1">
        <v>0.92</v>
      </c>
      <c r="H1152" s="3">
        <v>13595424</v>
      </c>
      <c r="I1152" s="2">
        <v>0</v>
      </c>
    </row>
    <row r="1153" spans="1:9" x14ac:dyDescent="0.3">
      <c r="A1153" s="4" t="s">
        <v>67</v>
      </c>
      <c r="B1153" s="3">
        <v>2012</v>
      </c>
      <c r="C1153" s="4" t="s">
        <v>102</v>
      </c>
      <c r="D1153" s="4" t="s">
        <v>5</v>
      </c>
      <c r="E1153" s="3">
        <v>0</v>
      </c>
      <c r="F1153" s="3">
        <f>Merge2[[#This Row],[Coverage]]*100</f>
        <v>97</v>
      </c>
      <c r="G1153" s="1">
        <v>0.97</v>
      </c>
      <c r="H1153" s="3">
        <v>13817887</v>
      </c>
      <c r="I1153" s="2">
        <v>0</v>
      </c>
    </row>
    <row r="1154" spans="1:9" x14ac:dyDescent="0.3">
      <c r="A1154" s="4" t="s">
        <v>67</v>
      </c>
      <c r="B1154" s="3">
        <v>2013</v>
      </c>
      <c r="C1154" s="4" t="s">
        <v>102</v>
      </c>
      <c r="D1154" s="4" t="s">
        <v>5</v>
      </c>
      <c r="E1154" s="3">
        <v>0</v>
      </c>
      <c r="F1154" s="3">
        <f>Merge2[[#This Row],[Coverage]]*100</f>
        <v>93</v>
      </c>
      <c r="G1154" s="1">
        <v>0.93</v>
      </c>
      <c r="H1154" s="3">
        <v>14013808</v>
      </c>
      <c r="I1154" s="2">
        <v>0</v>
      </c>
    </row>
    <row r="1155" spans="1:9" x14ac:dyDescent="0.3">
      <c r="A1155" s="4" t="s">
        <v>67</v>
      </c>
      <c r="B1155" s="3">
        <v>2014</v>
      </c>
      <c r="C1155" s="4" t="s">
        <v>102</v>
      </c>
      <c r="D1155" s="4" t="s">
        <v>5</v>
      </c>
      <c r="E1155" s="3">
        <v>0</v>
      </c>
      <c r="F1155" s="3">
        <f>Merge2[[#This Row],[Coverage]]*100</f>
        <v>92</v>
      </c>
      <c r="G1155" s="1">
        <v>0.92</v>
      </c>
      <c r="H1155" s="3">
        <v>14207359</v>
      </c>
      <c r="I1155" s="2">
        <v>0</v>
      </c>
    </row>
    <row r="1156" spans="1:9" x14ac:dyDescent="0.3">
      <c r="A1156" s="4" t="s">
        <v>67</v>
      </c>
      <c r="B1156" s="3">
        <v>2015</v>
      </c>
      <c r="C1156" s="4" t="s">
        <v>102</v>
      </c>
      <c r="D1156" s="4" t="s">
        <v>5</v>
      </c>
      <c r="E1156" s="3">
        <v>0</v>
      </c>
      <c r="F1156" s="3">
        <f>Merge2[[#This Row],[Coverage]]*100</f>
        <v>86</v>
      </c>
      <c r="G1156" s="1">
        <v>0.86</v>
      </c>
      <c r="H1156" s="3">
        <v>14399013</v>
      </c>
      <c r="I1156" s="2">
        <v>0</v>
      </c>
    </row>
    <row r="1157" spans="1:9" x14ac:dyDescent="0.3">
      <c r="A1157" s="4" t="s">
        <v>67</v>
      </c>
      <c r="B1157" s="3">
        <v>2016</v>
      </c>
      <c r="C1157" s="4" t="s">
        <v>102</v>
      </c>
      <c r="D1157" s="4" t="s">
        <v>5</v>
      </c>
      <c r="E1157" s="3">
        <v>1</v>
      </c>
      <c r="F1157" s="3">
        <f>Merge2[[#This Row],[Coverage]]*100</f>
        <v>95</v>
      </c>
      <c r="G1157" s="1">
        <v>0.95</v>
      </c>
      <c r="H1157" s="3">
        <v>14600294</v>
      </c>
      <c r="I1157" s="2">
        <v>6.8491771467067723E-3</v>
      </c>
    </row>
    <row r="1158" spans="1:9" x14ac:dyDescent="0.3">
      <c r="A1158" s="4" t="s">
        <v>67</v>
      </c>
      <c r="B1158" s="3">
        <v>2017</v>
      </c>
      <c r="C1158" s="4" t="s">
        <v>102</v>
      </c>
      <c r="D1158" s="4" t="s">
        <v>5</v>
      </c>
      <c r="E1158" s="3">
        <v>1</v>
      </c>
      <c r="F1158" s="3">
        <f>Merge2[[#This Row],[Coverage]]*100</f>
        <v>90</v>
      </c>
      <c r="G1158" s="1">
        <v>0.9</v>
      </c>
      <c r="H1158" s="3">
        <v>14812482</v>
      </c>
      <c r="I1158" s="2">
        <v>6.7510630561441361E-3</v>
      </c>
    </row>
    <row r="1159" spans="1:9" x14ac:dyDescent="0.3">
      <c r="A1159" s="4" t="s">
        <v>67</v>
      </c>
      <c r="B1159" s="3">
        <v>2018</v>
      </c>
      <c r="C1159" s="4" t="s">
        <v>102</v>
      </c>
      <c r="D1159" s="4" t="s">
        <v>5</v>
      </c>
      <c r="E1159" s="3">
        <v>1</v>
      </c>
      <c r="F1159" s="3">
        <f>Merge2[[#This Row],[Coverage]]*100</f>
        <v>88</v>
      </c>
      <c r="G1159" s="1">
        <v>0.88</v>
      </c>
      <c r="H1159" s="3">
        <v>15034452</v>
      </c>
      <c r="I1159" s="2">
        <v>6.6513897546781218E-3</v>
      </c>
    </row>
    <row r="1160" spans="1:9" x14ac:dyDescent="0.3">
      <c r="A1160" s="4" t="s">
        <v>67</v>
      </c>
      <c r="B1160" s="3">
        <v>2019</v>
      </c>
      <c r="C1160" s="4" t="s">
        <v>102</v>
      </c>
      <c r="D1160" s="4" t="s">
        <v>5</v>
      </c>
      <c r="E1160" s="3">
        <v>4</v>
      </c>
      <c r="F1160" s="3">
        <f>Merge2[[#This Row],[Coverage]]*100</f>
        <v>85</v>
      </c>
      <c r="G1160" s="1">
        <v>0.85</v>
      </c>
      <c r="H1160" s="3">
        <v>15271368</v>
      </c>
      <c r="I1160" s="2">
        <v>2.6192807350330371E-2</v>
      </c>
    </row>
    <row r="1161" spans="1:9" x14ac:dyDescent="0.3">
      <c r="A1161" s="4" t="s">
        <v>67</v>
      </c>
      <c r="B1161" s="3">
        <v>2020</v>
      </c>
      <c r="C1161" s="4" t="s">
        <v>102</v>
      </c>
      <c r="D1161" s="4" t="s">
        <v>5</v>
      </c>
      <c r="E1161" s="3">
        <v>3</v>
      </c>
      <c r="F1161" s="3">
        <f>Merge2[[#This Row],[Coverage]]*100</f>
        <v>85</v>
      </c>
      <c r="G1161" s="1">
        <v>0.85</v>
      </c>
      <c r="H1161" s="3">
        <v>15526888</v>
      </c>
      <c r="I1161" s="2">
        <v>1.9321321825725799E-2</v>
      </c>
    </row>
    <row r="1162" spans="1:9" x14ac:dyDescent="0.3">
      <c r="A1162" s="4" t="s">
        <v>67</v>
      </c>
      <c r="B1162" s="3">
        <v>2021</v>
      </c>
      <c r="C1162" s="4" t="s">
        <v>102</v>
      </c>
      <c r="D1162" s="4" t="s">
        <v>5</v>
      </c>
      <c r="E1162" s="3">
        <v>282</v>
      </c>
      <c r="F1162" s="3">
        <f>Merge2[[#This Row],[Coverage]]*100</f>
        <v>88</v>
      </c>
      <c r="G1162" s="1">
        <v>0.88</v>
      </c>
      <c r="H1162" s="3">
        <v>15797210</v>
      </c>
      <c r="I1162" s="2">
        <v>1.7851253480836173</v>
      </c>
    </row>
    <row r="1163" spans="1:9" x14ac:dyDescent="0.3">
      <c r="A1163" s="4" t="s">
        <v>67</v>
      </c>
      <c r="B1163" s="3">
        <v>2022</v>
      </c>
      <c r="C1163" s="4" t="s">
        <v>102</v>
      </c>
      <c r="D1163" s="4" t="s">
        <v>5</v>
      </c>
      <c r="E1163" s="3">
        <v>5532</v>
      </c>
      <c r="F1163" s="3">
        <f>Merge2[[#This Row],[Coverage]]*100</f>
        <v>90</v>
      </c>
      <c r="G1163" s="1">
        <v>0.9</v>
      </c>
      <c r="H1163" s="3">
        <v>16069056</v>
      </c>
      <c r="I1163" s="2">
        <v>34.42641559031221</v>
      </c>
    </row>
    <row r="1164" spans="1:9" x14ac:dyDescent="0.3">
      <c r="A1164" s="4" t="s">
        <v>67</v>
      </c>
      <c r="B1164" s="3">
        <v>2023</v>
      </c>
      <c r="C1164" s="4" t="s">
        <v>102</v>
      </c>
      <c r="D1164" s="4" t="s">
        <v>5</v>
      </c>
      <c r="E1164" s="3">
        <v>5532</v>
      </c>
      <c r="F1164" s="3">
        <f>Merge2[[#This Row],[Coverage]]*100</f>
        <v>90</v>
      </c>
      <c r="G1164" s="1">
        <v>0.9</v>
      </c>
      <c r="H1164" s="3">
        <v>16340822</v>
      </c>
      <c r="I1164" s="2">
        <v>33.85386610294146</v>
      </c>
    </row>
    <row r="1165" spans="1:9" x14ac:dyDescent="0.3">
      <c r="A1165" s="4" t="s">
        <v>67</v>
      </c>
      <c r="B1165" s="3">
        <v>2024</v>
      </c>
      <c r="C1165" s="4" t="s">
        <v>102</v>
      </c>
      <c r="D1165" s="4" t="s">
        <v>5</v>
      </c>
      <c r="E1165" s="3"/>
      <c r="F1165" s="3">
        <f>Merge2[[#This Row],[Coverage]]*100</f>
        <v>90</v>
      </c>
      <c r="G1165" s="1">
        <v>0.9</v>
      </c>
      <c r="H1165" s="3">
        <v>16634373</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CA7F9-7D83-4A1C-9F0C-2033C0518CF1}">
  <dimension ref="A2:J52"/>
  <sheetViews>
    <sheetView topLeftCell="A2" zoomScale="81" zoomScaleNormal="91" workbookViewId="0">
      <selection activeCell="E46" sqref="E46"/>
    </sheetView>
  </sheetViews>
  <sheetFormatPr defaultRowHeight="14.4" x14ac:dyDescent="0.3"/>
  <cols>
    <col min="1" max="1" width="7.44140625" bestFit="1" customWidth="1"/>
    <col min="2" max="2" width="28.77734375" bestFit="1" customWidth="1"/>
    <col min="3" max="3" width="20.109375" bestFit="1" customWidth="1"/>
    <col min="4" max="4" width="30.21875" bestFit="1" customWidth="1"/>
    <col min="5" max="5" width="28.77734375" bestFit="1" customWidth="1"/>
    <col min="6" max="6" width="7.44140625" bestFit="1" customWidth="1"/>
    <col min="7" max="7" width="26.44140625" bestFit="1" customWidth="1"/>
    <col min="8" max="8" width="28.77734375" bestFit="1" customWidth="1"/>
    <col min="9" max="9" width="22.33203125" bestFit="1" customWidth="1"/>
    <col min="10" max="10" width="30.21875" bestFit="1" customWidth="1"/>
    <col min="11" max="11" width="28.77734375" bestFit="1" customWidth="1"/>
    <col min="12" max="12" width="29" bestFit="1" customWidth="1"/>
    <col min="13" max="13" width="30.21875" bestFit="1" customWidth="1"/>
    <col min="14" max="14" width="22.33203125" bestFit="1" customWidth="1"/>
    <col min="15" max="15" width="19" bestFit="1" customWidth="1"/>
  </cols>
  <sheetData>
    <row r="2" spans="1:10" ht="15.6" x14ac:dyDescent="0.3">
      <c r="A2" s="12" t="s">
        <v>103</v>
      </c>
      <c r="D2" s="12" t="s">
        <v>119</v>
      </c>
      <c r="F2" s="12"/>
      <c r="G2" s="12" t="s">
        <v>107</v>
      </c>
      <c r="J2" s="12"/>
    </row>
    <row r="3" spans="1:10" x14ac:dyDescent="0.3">
      <c r="A3" s="5" t="s">
        <v>0</v>
      </c>
      <c r="B3" t="s">
        <v>109</v>
      </c>
      <c r="D3" s="5" t="s">
        <v>0</v>
      </c>
      <c r="E3" s="6">
        <v>2024</v>
      </c>
      <c r="G3" s="5" t="s">
        <v>0</v>
      </c>
      <c r="H3" s="6">
        <v>2024</v>
      </c>
    </row>
    <row r="4" spans="1:10" x14ac:dyDescent="0.3">
      <c r="A4" s="3">
        <v>2000</v>
      </c>
      <c r="B4" s="3">
        <v>60.913043478260867</v>
      </c>
    </row>
    <row r="5" spans="1:10" x14ac:dyDescent="0.3">
      <c r="A5" s="3">
        <v>2002</v>
      </c>
      <c r="B5" s="3">
        <v>64.913043478260875</v>
      </c>
      <c r="D5" s="5" t="s">
        <v>28</v>
      </c>
      <c r="E5" t="s">
        <v>104</v>
      </c>
      <c r="G5" s="5" t="s">
        <v>28</v>
      </c>
      <c r="H5" t="s">
        <v>104</v>
      </c>
      <c r="I5" t="s">
        <v>109</v>
      </c>
    </row>
    <row r="6" spans="1:10" x14ac:dyDescent="0.3">
      <c r="A6" s="3">
        <v>2004</v>
      </c>
      <c r="B6" s="3">
        <v>69.326086956521735</v>
      </c>
      <c r="D6" t="s">
        <v>21</v>
      </c>
      <c r="E6" s="2">
        <v>100.13061848334587</v>
      </c>
      <c r="G6" t="s">
        <v>21</v>
      </c>
      <c r="H6" s="2">
        <v>100.13061848334587</v>
      </c>
      <c r="I6" s="3">
        <v>55.000000000000007</v>
      </c>
    </row>
    <row r="7" spans="1:10" x14ac:dyDescent="0.3">
      <c r="A7" s="3">
        <v>2006</v>
      </c>
      <c r="B7" s="3">
        <v>71.717391304347828</v>
      </c>
      <c r="D7" t="s">
        <v>33</v>
      </c>
      <c r="E7" s="2">
        <v>34.375869341744469</v>
      </c>
      <c r="G7" t="s">
        <v>33</v>
      </c>
      <c r="H7" s="2">
        <v>34.375869341744469</v>
      </c>
      <c r="I7" s="3">
        <v>66</v>
      </c>
    </row>
    <row r="8" spans="1:10" x14ac:dyDescent="0.3">
      <c r="A8" s="3">
        <v>2008</v>
      </c>
      <c r="B8" s="3">
        <v>73.913043478260875</v>
      </c>
      <c r="D8" t="s">
        <v>61</v>
      </c>
      <c r="E8" s="2">
        <v>26.072960079736035</v>
      </c>
      <c r="G8" t="s">
        <v>61</v>
      </c>
      <c r="H8" s="2">
        <v>26.072960079736035</v>
      </c>
      <c r="I8" s="3">
        <v>72</v>
      </c>
    </row>
    <row r="9" spans="1:10" x14ac:dyDescent="0.3">
      <c r="A9" s="3">
        <v>2010</v>
      </c>
      <c r="B9" s="3">
        <v>76.956521739130437</v>
      </c>
      <c r="D9" t="s">
        <v>34</v>
      </c>
      <c r="E9" s="2">
        <v>24.464786559268191</v>
      </c>
      <c r="G9" t="s">
        <v>34</v>
      </c>
      <c r="H9" s="2">
        <v>24.464786559268191</v>
      </c>
      <c r="I9" s="3">
        <v>53</v>
      </c>
    </row>
    <row r="10" spans="1:10" x14ac:dyDescent="0.3">
      <c r="A10" s="3">
        <v>2012</v>
      </c>
      <c r="B10" s="3">
        <v>78.148936170212764</v>
      </c>
      <c r="D10" t="s">
        <v>36</v>
      </c>
      <c r="E10" s="2">
        <v>23.507538067971907</v>
      </c>
      <c r="G10" t="s">
        <v>36</v>
      </c>
      <c r="H10" s="2">
        <v>23.507538067971907</v>
      </c>
      <c r="I10" s="3">
        <v>72</v>
      </c>
    </row>
    <row r="11" spans="1:10" x14ac:dyDescent="0.3">
      <c r="A11" s="3">
        <v>2014</v>
      </c>
      <c r="B11" s="3">
        <v>76.744680851063833</v>
      </c>
      <c r="D11" t="s">
        <v>48</v>
      </c>
      <c r="E11" s="2">
        <v>21.414498214974866</v>
      </c>
      <c r="G11" t="s">
        <v>48</v>
      </c>
      <c r="H11" s="2">
        <v>21.414498214974866</v>
      </c>
      <c r="I11" s="3">
        <v>93</v>
      </c>
    </row>
    <row r="12" spans="1:10" x14ac:dyDescent="0.3">
      <c r="A12" s="3">
        <v>2016</v>
      </c>
      <c r="B12" s="3">
        <v>76.063829787234042</v>
      </c>
      <c r="D12" t="s">
        <v>7</v>
      </c>
      <c r="E12" s="2">
        <v>19.511971495009963</v>
      </c>
      <c r="G12" t="s">
        <v>7</v>
      </c>
      <c r="H12" s="2">
        <v>19.511971495009963</v>
      </c>
      <c r="I12" s="3">
        <v>86</v>
      </c>
    </row>
    <row r="13" spans="1:10" x14ac:dyDescent="0.3">
      <c r="A13" s="3">
        <v>2018</v>
      </c>
      <c r="B13" s="3">
        <v>76.787234042553195</v>
      </c>
      <c r="D13" t="s">
        <v>44</v>
      </c>
      <c r="E13" s="2">
        <v>18.760633029724648</v>
      </c>
      <c r="G13" t="s">
        <v>44</v>
      </c>
      <c r="H13" s="2">
        <v>18.760633029724648</v>
      </c>
      <c r="I13" s="3">
        <v>82</v>
      </c>
    </row>
    <row r="14" spans="1:10" x14ac:dyDescent="0.3">
      <c r="A14" s="3">
        <v>2020</v>
      </c>
      <c r="B14" s="3">
        <v>74.59574468085107</v>
      </c>
      <c r="D14" t="s">
        <v>11</v>
      </c>
      <c r="E14" s="2">
        <v>18.67187944887678</v>
      </c>
      <c r="G14" t="s">
        <v>11</v>
      </c>
      <c r="H14" s="2">
        <v>18.67187944887678</v>
      </c>
      <c r="I14" s="3">
        <v>88</v>
      </c>
    </row>
    <row r="15" spans="1:10" x14ac:dyDescent="0.3">
      <c r="A15" s="3">
        <v>2022</v>
      </c>
      <c r="B15" s="3">
        <v>74.553191489361708</v>
      </c>
      <c r="D15" t="s">
        <v>52</v>
      </c>
      <c r="E15" s="2">
        <v>8.7376590738554878</v>
      </c>
      <c r="G15" t="s">
        <v>52</v>
      </c>
      <c r="H15" s="2">
        <v>8.7376590738554878</v>
      </c>
      <c r="I15" s="3">
        <v>81</v>
      </c>
    </row>
    <row r="16" spans="1:10" x14ac:dyDescent="0.3">
      <c r="A16" s="3">
        <v>2024</v>
      </c>
      <c r="B16" s="3">
        <v>75.893617021276597</v>
      </c>
      <c r="G16" t="s">
        <v>59</v>
      </c>
      <c r="H16" s="2">
        <v>8.0434944201348078</v>
      </c>
      <c r="I16" s="3">
        <v>64</v>
      </c>
    </row>
    <row r="17" spans="1:10" x14ac:dyDescent="0.3">
      <c r="G17" t="s">
        <v>23</v>
      </c>
      <c r="H17" s="2">
        <v>7.6267641629247365</v>
      </c>
      <c r="I17" s="3">
        <v>72</v>
      </c>
    </row>
    <row r="18" spans="1:10" ht="15.6" x14ac:dyDescent="0.3">
      <c r="A18" s="12" t="s">
        <v>105</v>
      </c>
      <c r="D18" s="12" t="s">
        <v>118</v>
      </c>
      <c r="G18" t="s">
        <v>53</v>
      </c>
      <c r="H18" s="2">
        <v>6.4462066568672629</v>
      </c>
      <c r="I18" s="3">
        <v>56.999999999999993</v>
      </c>
    </row>
    <row r="19" spans="1:10" ht="15.6" x14ac:dyDescent="0.3">
      <c r="A19" s="5" t="s">
        <v>0</v>
      </c>
      <c r="B19" t="s">
        <v>104</v>
      </c>
      <c r="D19" s="5" t="s">
        <v>0</v>
      </c>
      <c r="E19" s="6">
        <v>2024</v>
      </c>
      <c r="G19" t="s">
        <v>17</v>
      </c>
      <c r="H19" s="2">
        <v>5.8620483412313371</v>
      </c>
      <c r="I19" s="3">
        <v>75</v>
      </c>
      <c r="J19" s="12"/>
    </row>
    <row r="20" spans="1:10" x14ac:dyDescent="0.3">
      <c r="A20" s="3">
        <v>2000</v>
      </c>
      <c r="B20" s="2">
        <v>72.209808021884683</v>
      </c>
      <c r="G20" t="s">
        <v>39</v>
      </c>
      <c r="H20" s="2">
        <v>5.6466628600103395</v>
      </c>
      <c r="I20" s="3">
        <v>90</v>
      </c>
    </row>
    <row r="21" spans="1:10" x14ac:dyDescent="0.3">
      <c r="A21" s="3">
        <v>2002</v>
      </c>
      <c r="B21" s="2">
        <v>40.445869697410068</v>
      </c>
      <c r="D21" s="5" t="s">
        <v>28</v>
      </c>
      <c r="E21" t="s">
        <v>109</v>
      </c>
      <c r="G21" t="s">
        <v>9</v>
      </c>
      <c r="H21" s="2">
        <v>5.427746529630241</v>
      </c>
      <c r="I21" s="3">
        <v>44</v>
      </c>
    </row>
    <row r="22" spans="1:10" x14ac:dyDescent="0.3">
      <c r="A22" s="3">
        <v>2004</v>
      </c>
      <c r="B22" s="2">
        <v>36.786116946643439</v>
      </c>
      <c r="D22" t="s">
        <v>40</v>
      </c>
      <c r="E22" s="3">
        <v>60</v>
      </c>
      <c r="G22" t="s">
        <v>46</v>
      </c>
      <c r="H22" s="2">
        <v>4.4238621461753036</v>
      </c>
      <c r="I22" s="3">
        <v>89</v>
      </c>
    </row>
    <row r="23" spans="1:10" x14ac:dyDescent="0.3">
      <c r="A23" s="3">
        <v>2006</v>
      </c>
      <c r="B23" s="2">
        <v>5.4803000134290292</v>
      </c>
      <c r="D23" t="s">
        <v>53</v>
      </c>
      <c r="E23" s="3">
        <v>56.999999999999993</v>
      </c>
      <c r="G23" t="s">
        <v>64</v>
      </c>
      <c r="H23" s="2">
        <v>4.3586843747083384</v>
      </c>
      <c r="I23" s="3">
        <v>90</v>
      </c>
    </row>
    <row r="24" spans="1:10" x14ac:dyDescent="0.3">
      <c r="A24" s="3">
        <v>2008</v>
      </c>
      <c r="B24" s="2">
        <v>2.8807060350586902</v>
      </c>
      <c r="D24" t="s">
        <v>37</v>
      </c>
      <c r="E24" s="3">
        <v>56.999999999999993</v>
      </c>
      <c r="G24" t="s">
        <v>40</v>
      </c>
      <c r="H24" s="2">
        <v>3.9105957829951432</v>
      </c>
      <c r="I24" s="3">
        <v>60</v>
      </c>
    </row>
    <row r="25" spans="1:10" x14ac:dyDescent="0.3">
      <c r="A25" s="3">
        <v>2010</v>
      </c>
      <c r="B25" s="2">
        <v>33.87846372532259</v>
      </c>
      <c r="D25" t="s">
        <v>21</v>
      </c>
      <c r="E25" s="3">
        <v>55.000000000000007</v>
      </c>
      <c r="G25" t="s">
        <v>63</v>
      </c>
      <c r="H25" s="2">
        <v>3.7098396718694104</v>
      </c>
      <c r="I25" s="3">
        <v>81</v>
      </c>
    </row>
    <row r="26" spans="1:10" x14ac:dyDescent="0.3">
      <c r="A26" s="3">
        <v>2012</v>
      </c>
      <c r="B26" s="2">
        <v>9.8357945036214378</v>
      </c>
      <c r="D26" t="s">
        <v>4</v>
      </c>
      <c r="E26" s="3">
        <v>53</v>
      </c>
      <c r="G26" t="s">
        <v>50</v>
      </c>
      <c r="H26" s="2">
        <v>3.571865206065437</v>
      </c>
      <c r="I26" s="3">
        <v>65</v>
      </c>
    </row>
    <row r="27" spans="1:10" x14ac:dyDescent="0.3">
      <c r="A27" s="3">
        <v>2014</v>
      </c>
      <c r="B27" s="2">
        <v>5.7735241842510927</v>
      </c>
      <c r="D27" t="s">
        <v>34</v>
      </c>
      <c r="E27" s="3">
        <v>53</v>
      </c>
      <c r="G27" t="s">
        <v>19</v>
      </c>
      <c r="H27" s="2">
        <v>2.9632179159382805</v>
      </c>
      <c r="I27" s="3">
        <v>71</v>
      </c>
    </row>
    <row r="28" spans="1:10" x14ac:dyDescent="0.3">
      <c r="A28" s="3">
        <v>2016</v>
      </c>
      <c r="B28" s="2">
        <v>6.1650316339063558</v>
      </c>
      <c r="D28" t="s">
        <v>62</v>
      </c>
      <c r="E28" s="3">
        <v>46</v>
      </c>
      <c r="G28" t="s">
        <v>56</v>
      </c>
      <c r="H28" s="2">
        <v>2.6807935840826587</v>
      </c>
      <c r="I28" s="3">
        <v>87</v>
      </c>
    </row>
    <row r="29" spans="1:10" x14ac:dyDescent="0.3">
      <c r="A29" s="3">
        <v>2018</v>
      </c>
      <c r="B29" s="2">
        <v>8.9178367671490726</v>
      </c>
      <c r="D29" t="s">
        <v>45</v>
      </c>
      <c r="E29" s="3">
        <v>46</v>
      </c>
      <c r="G29" t="s">
        <v>62</v>
      </c>
      <c r="H29" s="2">
        <v>2.6502031369802386</v>
      </c>
      <c r="I29" s="3">
        <v>46</v>
      </c>
    </row>
    <row r="30" spans="1:10" x14ac:dyDescent="0.3">
      <c r="A30" s="3">
        <v>2020</v>
      </c>
      <c r="B30" s="2">
        <v>7.3921287705500127</v>
      </c>
      <c r="D30" t="s">
        <v>9</v>
      </c>
      <c r="E30" s="3">
        <v>44</v>
      </c>
      <c r="G30" t="s">
        <v>42</v>
      </c>
      <c r="H30" s="2">
        <v>2.5109446709000331</v>
      </c>
      <c r="I30" s="3">
        <v>88</v>
      </c>
    </row>
    <row r="31" spans="1:10" x14ac:dyDescent="0.3">
      <c r="A31" s="3">
        <v>2022</v>
      </c>
      <c r="B31" s="2">
        <v>14.688465527162034</v>
      </c>
      <c r="D31" t="s">
        <v>15</v>
      </c>
      <c r="E31" s="3">
        <v>41</v>
      </c>
      <c r="G31" t="s">
        <v>15</v>
      </c>
      <c r="H31" s="2">
        <v>2.3449121971076914</v>
      </c>
      <c r="I31" s="3">
        <v>41</v>
      </c>
    </row>
    <row r="32" spans="1:10" x14ac:dyDescent="0.3">
      <c r="A32" s="3">
        <v>2024</v>
      </c>
      <c r="B32" s="2">
        <v>8.5181552838821872</v>
      </c>
      <c r="G32" t="s">
        <v>25</v>
      </c>
      <c r="H32" s="2">
        <v>1.9616259802360414</v>
      </c>
      <c r="I32" s="3">
        <v>70</v>
      </c>
    </row>
    <row r="33" spans="1:9" x14ac:dyDescent="0.3">
      <c r="G33" t="s">
        <v>57</v>
      </c>
      <c r="H33" s="2">
        <v>1.648070932972955</v>
      </c>
      <c r="I33" s="3">
        <v>97</v>
      </c>
    </row>
    <row r="34" spans="1:9" ht="15.6" x14ac:dyDescent="0.3">
      <c r="A34" s="12" t="s">
        <v>106</v>
      </c>
      <c r="G34" t="s">
        <v>4</v>
      </c>
      <c r="H34" s="2">
        <v>1.6338554271279497</v>
      </c>
      <c r="I34" s="3">
        <v>53</v>
      </c>
    </row>
    <row r="35" spans="1:9" x14ac:dyDescent="0.3">
      <c r="A35" s="5" t="s">
        <v>0</v>
      </c>
      <c r="B35" t="s">
        <v>111</v>
      </c>
      <c r="C35" t="s">
        <v>110</v>
      </c>
      <c r="G35" t="s">
        <v>47</v>
      </c>
      <c r="H35" s="2">
        <v>1.5033542570560114</v>
      </c>
      <c r="I35" s="3">
        <v>72</v>
      </c>
    </row>
    <row r="36" spans="1:9" x14ac:dyDescent="0.3">
      <c r="A36" s="3">
        <v>2008</v>
      </c>
      <c r="B36" s="2">
        <v>2.8807060350586902</v>
      </c>
      <c r="C36" s="3">
        <v>73.913043478260875</v>
      </c>
      <c r="G36" t="s">
        <v>58</v>
      </c>
      <c r="H36" s="2">
        <v>1.4927062208358184</v>
      </c>
      <c r="I36" s="3">
        <v>90</v>
      </c>
    </row>
    <row r="37" spans="1:9" x14ac:dyDescent="0.3">
      <c r="A37" s="3">
        <v>2006</v>
      </c>
      <c r="B37" s="2">
        <v>5.4803000134290292</v>
      </c>
      <c r="C37" s="3">
        <v>71.717391304347828</v>
      </c>
      <c r="G37" t="s">
        <v>60</v>
      </c>
      <c r="H37" s="2">
        <v>1.4545241614820534</v>
      </c>
      <c r="I37" s="3">
        <v>76</v>
      </c>
    </row>
    <row r="38" spans="1:9" x14ac:dyDescent="0.3">
      <c r="A38" s="3">
        <v>2014</v>
      </c>
      <c r="B38" s="2">
        <v>5.7735241842510927</v>
      </c>
      <c r="C38" s="3">
        <v>76.744680851063833</v>
      </c>
      <c r="G38" t="s">
        <v>65</v>
      </c>
      <c r="H38" s="2">
        <v>1.4469045046089961</v>
      </c>
      <c r="I38" s="3">
        <v>84</v>
      </c>
    </row>
    <row r="39" spans="1:9" x14ac:dyDescent="0.3">
      <c r="A39" s="3">
        <v>2016</v>
      </c>
      <c r="B39" s="2">
        <v>6.1650316339063558</v>
      </c>
      <c r="C39" s="3">
        <v>76.063829787234042</v>
      </c>
      <c r="G39" t="s">
        <v>66</v>
      </c>
      <c r="H39" s="2">
        <v>1.4027708994567007</v>
      </c>
      <c r="I39" s="3">
        <v>88</v>
      </c>
    </row>
    <row r="40" spans="1:9" x14ac:dyDescent="0.3">
      <c r="A40" s="3">
        <v>2020</v>
      </c>
      <c r="B40" s="2">
        <v>7.3921287705500127</v>
      </c>
      <c r="C40" s="3">
        <v>74.59574468085107</v>
      </c>
      <c r="G40" t="s">
        <v>37</v>
      </c>
      <c r="H40" s="2">
        <v>1.2603625432855761</v>
      </c>
      <c r="I40" s="3">
        <v>56.999999999999993</v>
      </c>
    </row>
    <row r="41" spans="1:9" x14ac:dyDescent="0.3">
      <c r="A41" s="3">
        <v>2024</v>
      </c>
      <c r="B41" s="2">
        <v>8.5181552838821872</v>
      </c>
      <c r="C41" s="3">
        <v>75.893617021276597</v>
      </c>
      <c r="G41" t="s">
        <v>51</v>
      </c>
      <c r="H41" s="2">
        <v>0.49502810274539288</v>
      </c>
      <c r="I41" s="3">
        <v>79</v>
      </c>
    </row>
    <row r="42" spans="1:9" x14ac:dyDescent="0.3">
      <c r="A42" s="3">
        <v>2018</v>
      </c>
      <c r="B42" s="2">
        <v>8.9178367671490726</v>
      </c>
      <c r="C42" s="3">
        <v>76.787234042553195</v>
      </c>
      <c r="G42" t="s">
        <v>54</v>
      </c>
      <c r="H42" s="2">
        <v>0.37175850259042026</v>
      </c>
      <c r="I42" s="3">
        <v>97</v>
      </c>
    </row>
    <row r="43" spans="1:9" x14ac:dyDescent="0.3">
      <c r="A43" s="3">
        <v>2012</v>
      </c>
      <c r="B43" s="2">
        <v>9.8357945036214378</v>
      </c>
      <c r="C43" s="3">
        <v>78.148936170212764</v>
      </c>
      <c r="G43" t="s">
        <v>45</v>
      </c>
      <c r="H43" s="2">
        <v>0.32535630582441594</v>
      </c>
      <c r="I43" s="3">
        <v>46</v>
      </c>
    </row>
    <row r="44" spans="1:9" x14ac:dyDescent="0.3">
      <c r="A44" s="3">
        <v>2022</v>
      </c>
      <c r="B44" s="2">
        <v>14.688465527162034</v>
      </c>
      <c r="C44" s="3">
        <v>74.553191489361708</v>
      </c>
      <c r="G44" t="s">
        <v>38</v>
      </c>
      <c r="H44" s="2">
        <v>0.28985633270869293</v>
      </c>
      <c r="I44" s="3">
        <v>83</v>
      </c>
    </row>
    <row r="45" spans="1:9" x14ac:dyDescent="0.3">
      <c r="A45" s="3">
        <v>2010</v>
      </c>
      <c r="B45" s="2">
        <v>33.87846372532259</v>
      </c>
      <c r="C45" s="3">
        <v>76.956521739130437</v>
      </c>
      <c r="G45" t="s">
        <v>13</v>
      </c>
      <c r="H45" s="2">
        <v>0.11899383572266344</v>
      </c>
      <c r="I45" s="3">
        <v>97</v>
      </c>
    </row>
    <row r="46" spans="1:9" x14ac:dyDescent="0.3">
      <c r="A46" s="3">
        <v>2004</v>
      </c>
      <c r="B46" s="2">
        <v>36.786116946643439</v>
      </c>
      <c r="C46" s="3">
        <v>69.326086956521735</v>
      </c>
      <c r="G46" t="s">
        <v>43</v>
      </c>
      <c r="H46" s="2">
        <v>8.5564315915433356E-2</v>
      </c>
      <c r="I46" s="3">
        <v>90</v>
      </c>
    </row>
    <row r="47" spans="1:9" x14ac:dyDescent="0.3">
      <c r="A47" s="3">
        <v>2002</v>
      </c>
      <c r="B47" s="2">
        <v>40.445869697410068</v>
      </c>
      <c r="C47" s="3">
        <v>64.913043478260875</v>
      </c>
      <c r="G47" t="s">
        <v>27</v>
      </c>
      <c r="H47" s="2">
        <v>0</v>
      </c>
      <c r="I47" s="3">
        <v>95</v>
      </c>
    </row>
    <row r="48" spans="1:9" x14ac:dyDescent="0.3">
      <c r="A48" s="3">
        <v>2000</v>
      </c>
      <c r="B48" s="2">
        <v>72.209808021884683</v>
      </c>
      <c r="C48" s="3">
        <v>60.913043478260867</v>
      </c>
      <c r="G48" t="s">
        <v>49</v>
      </c>
      <c r="H48" s="2">
        <v>0</v>
      </c>
      <c r="I48" s="3">
        <v>98</v>
      </c>
    </row>
    <row r="49" spans="7:9" x14ac:dyDescent="0.3">
      <c r="G49" t="s">
        <v>35</v>
      </c>
      <c r="H49" s="2">
        <v>0</v>
      </c>
      <c r="I49" s="3">
        <v>85</v>
      </c>
    </row>
    <row r="50" spans="7:9" x14ac:dyDescent="0.3">
      <c r="G50" t="s">
        <v>41</v>
      </c>
      <c r="H50" s="2">
        <v>0</v>
      </c>
      <c r="I50" s="3">
        <v>65</v>
      </c>
    </row>
    <row r="51" spans="7:9" x14ac:dyDescent="0.3">
      <c r="G51" t="s">
        <v>67</v>
      </c>
      <c r="H51" s="2"/>
      <c r="I51" s="3">
        <v>90</v>
      </c>
    </row>
    <row r="52" spans="7:9" x14ac:dyDescent="0.3">
      <c r="G52" t="s">
        <v>55</v>
      </c>
      <c r="H52" s="2"/>
      <c r="I52" s="3">
        <v>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B6D14-2824-4F77-84AC-B06461C760B0}">
  <sheetPr>
    <pageSetUpPr fitToPage="1"/>
  </sheetPr>
  <dimension ref="C2:S7"/>
  <sheetViews>
    <sheetView showGridLines="0" tabSelected="1" topLeftCell="A3" zoomScale="54" zoomScaleNormal="122" workbookViewId="0">
      <selection activeCell="U6" sqref="U6"/>
    </sheetView>
  </sheetViews>
  <sheetFormatPr defaultRowHeight="14.4" x14ac:dyDescent="0.3"/>
  <cols>
    <col min="3" max="3" width="14.109375" customWidth="1"/>
    <col min="4" max="4" width="31.77734375" customWidth="1"/>
    <col min="6" max="6" width="29.88671875" customWidth="1"/>
    <col min="7" max="7" width="11" customWidth="1"/>
    <col min="8" max="8" width="37.33203125" bestFit="1" customWidth="1"/>
    <col min="9" max="9" width="8.88671875" customWidth="1"/>
    <col min="10" max="10" width="38.109375" customWidth="1"/>
  </cols>
  <sheetData>
    <row r="2" spans="3:19" ht="61.2" x14ac:dyDescent="1.1000000000000001">
      <c r="C2" s="14" t="s">
        <v>112</v>
      </c>
      <c r="D2" s="15"/>
      <c r="E2" s="16"/>
      <c r="F2" s="17"/>
      <c r="G2" s="17"/>
      <c r="H2" s="17"/>
      <c r="I2" s="17"/>
      <c r="J2" s="17"/>
      <c r="K2" s="18"/>
      <c r="L2" s="18"/>
      <c r="M2" s="18"/>
      <c r="N2" s="18"/>
      <c r="O2" s="18"/>
      <c r="P2" s="18"/>
      <c r="Q2" s="18"/>
      <c r="R2" s="18"/>
      <c r="S2" s="18"/>
    </row>
    <row r="3" spans="3:19" ht="25.8" x14ac:dyDescent="0.5">
      <c r="C3" s="7" t="s">
        <v>113</v>
      </c>
      <c r="D3" s="11"/>
      <c r="E3" s="9"/>
    </row>
    <row r="5" spans="3:19" ht="115.2" x14ac:dyDescent="0.55000000000000004">
      <c r="D5" s="10" t="s">
        <v>114</v>
      </c>
      <c r="F5" s="10" t="s">
        <v>115</v>
      </c>
      <c r="H5" s="10" t="s">
        <v>116</v>
      </c>
      <c r="I5" s="8"/>
      <c r="J5" s="10" t="s">
        <v>117</v>
      </c>
      <c r="K5" s="8"/>
      <c r="L5" s="8"/>
    </row>
    <row r="6" spans="3:19" ht="40.799999999999997" x14ac:dyDescent="0.3">
      <c r="D6" s="19">
        <f>GETPIVOTDATA("Coverage (%)",Analysis_Pivots!$A$3,"Year",2024)</f>
        <v>75.893617021276597</v>
      </c>
      <c r="F6" s="20">
        <f>GETPIVOTDATA("Coverage (%)",Analysis_Pivots!$A$3,"Year",2024)-GETPIVOTDATA("Coverage (%)",Analysis_Pivots!$A$3,"Year",2000)</f>
        <v>14.98057354301573</v>
      </c>
      <c r="G6" s="3"/>
      <c r="H6" s="21">
        <f>GETPIVOTDATA("Incidence_per_100k",Analysis_Pivots!$A$19,"Year",2000)-GETPIVOTDATA("Incidence_per_100k",Analysis_Pivots!$A$19,"Year",2024)</f>
        <v>63.691652738002496</v>
      </c>
      <c r="J6" s="22">
        <f>COUNTIF(Analysis_Pivots!I6:I52, "&lt;95")</f>
        <v>42</v>
      </c>
    </row>
    <row r="7" spans="3:19" x14ac:dyDescent="0.3">
      <c r="D7" s="13"/>
    </row>
  </sheetData>
  <pageMargins left="0.7" right="0.7" top="0.75" bottom="0.75" header="0.3" footer="0.3"/>
  <pageSetup scale="42" fitToHeight="0"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EB780A-98F1-4E5A-A52B-FAACD40627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tbl_measles_ssa_clean</vt:lpstr>
      <vt:lpstr>Analysis_Pivots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Nonye</dc:creator>
  <cp:lastModifiedBy>nonye anams</cp:lastModifiedBy>
  <cp:lastPrinted>2026-02-25T14:01:26Z</cp:lastPrinted>
  <dcterms:created xsi:type="dcterms:W3CDTF">2015-06-05T18:17:20Z</dcterms:created>
  <dcterms:modified xsi:type="dcterms:W3CDTF">2026-02-25T14:09:58Z</dcterms:modified>
</cp:coreProperties>
</file>